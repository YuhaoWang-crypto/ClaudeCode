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店长看板" sheetId="1" state="visible" r:id="rId3"/>
    <sheet name="每日经营日报" sheetId="2" state="visible" r:id="rId4"/>
    <sheet name="优先级矩阵" sheetId="3" state="visible" r:id="rId5"/>
    <sheet name="时段矩阵" sheetId="4" state="visible" r:id="rId6"/>
    <sheet name="交叉矩阵" sheetId="5" state="visible" r:id="rId7"/>
    <sheet name="归因矩阵" sheetId="6" state="visible" r:id="rId8"/>
    <sheet name="报表清单" sheetId="7" state="visible" r:id="rId9"/>
    <sheet name="行动卡" sheetId="8" state="visible" r:id="rId10"/>
    <sheet name="目标与口径" sheetId="9" state="visible" r:id="rId11"/>
    <sheet name="数据字典" sheetId="10" state="visible" r:id="rId12"/>
    <sheet name="使用说明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<sst xmlns="http://schemas.openxmlformats.org/spreadsheetml/2006/main" count="1679" uniqueCount="860">
  <si>
    <r>
      <rPr>
        <b val="true"/>
        <sz val="16"/>
        <color rgb="FFFFFFFF"/>
        <rFont val="WenQuanYi Zen Hei"/>
        <family val="2"/>
      </rPr>
      <t xml:space="preserve">店长看板 </t>
    </r>
    <r>
      <rPr>
        <b val="true"/>
        <sz val="16"/>
        <color rgb="FFFFFFFF"/>
        <rFont val="Arial"/>
        <family val="0"/>
        <charset val="1"/>
      </rPr>
      <t xml:space="preserve">· Store Manager Daily Dashboard</t>
    </r>
  </si>
  <si>
    <t xml:space="preserve">先看灯，再看今天的三件事，最后才翻矩阵找原因。所有数值来自「每日经营日报」，所有红黄绿来自「目标与口径」——两张表都改得动。</t>
  </si>
  <si>
    <t xml:space="preserve">最新营业日</t>
  </si>
  <si>
    <t xml:space="preserve">当日结论</t>
  </si>
  <si>
    <t xml:space="preserve">指标</t>
  </si>
  <si>
    <t xml:space="preserve">最新值</t>
  </si>
  <si>
    <t xml:space="preserve">目标</t>
  </si>
  <si>
    <t xml:space="preserve">状态</t>
  </si>
  <si>
    <t xml:space="preserve">绿线</t>
  </si>
  <si>
    <t xml:space="preserve">黄线</t>
  </si>
  <si>
    <t xml:space="preserve">超线带宽</t>
  </si>
  <si>
    <t xml:space="preserve">责任人</t>
  </si>
  <si>
    <t xml:space="preserve">行动卡</t>
  </si>
  <si>
    <t xml:space="preserve">销售达成率</t>
  </si>
  <si>
    <t xml:space="preserve">净销售额</t>
  </si>
  <si>
    <t xml:space="preserve">交易笔数</t>
  </si>
  <si>
    <t xml:space="preserve">客单价</t>
  </si>
  <si>
    <t xml:space="preserve">食品成本率</t>
  </si>
  <si>
    <t xml:space="preserve">废弃率</t>
  </si>
  <si>
    <t xml:space="preserve">人工成本率</t>
  </si>
  <si>
    <r>
      <rPr>
        <b val="true"/>
        <sz val="9"/>
        <color rgb="FF203040"/>
        <rFont val="WenQuanYi Zen Hei"/>
        <family val="2"/>
      </rPr>
      <t xml:space="preserve">人时销售 </t>
    </r>
    <r>
      <rPr>
        <b val="true"/>
        <sz val="9"/>
        <color rgb="FF203040"/>
        <rFont val="Arial"/>
        <family val="0"/>
        <charset val="1"/>
      </rPr>
      <t xml:space="preserve">SPLH</t>
    </r>
  </si>
  <si>
    <t xml:space="preserve">服务速度达标率</t>
  </si>
  <si>
    <t xml:space="preserve">得来速总时长</t>
  </si>
  <si>
    <t xml:space="preserve">订单准确率</t>
  </si>
  <si>
    <t xml:space="preserve">食安日检得分</t>
  </si>
  <si>
    <t xml:space="preserve">关键温度点异常数</t>
  </si>
  <si>
    <t xml:space="preserve">设备停机时长</t>
  </si>
  <si>
    <t xml:space="preserve">出勤达成率</t>
  </si>
  <si>
    <t xml:space="preserve">迟到率</t>
  </si>
  <si>
    <t xml:space="preserve">顾客满意度</t>
  </si>
  <si>
    <t xml:space="preserve">外卖平台评分</t>
  </si>
  <si>
    <r>
      <rPr>
        <b val="true"/>
        <sz val="10.5"/>
        <color rgb="FF203040"/>
        <rFont val="Arial"/>
        <family val="0"/>
        <charset val="1"/>
      </rPr>
      <t xml:space="preserve">B. </t>
    </r>
    <r>
      <rPr>
        <b val="true"/>
        <sz val="10.5"/>
        <color rgb="FF203040"/>
        <rFont val="WenQuanYi Zen Hei"/>
        <family val="2"/>
      </rPr>
      <t xml:space="preserve">六个家族的灯（绿 </t>
    </r>
    <r>
      <rPr>
        <b val="true"/>
        <sz val="10.5"/>
        <color rgb="FF203040"/>
        <rFont val="Arial"/>
        <family val="0"/>
        <charset val="1"/>
      </rPr>
      <t xml:space="preserve">/ </t>
    </r>
    <r>
      <rPr>
        <b val="true"/>
        <sz val="10.5"/>
        <color rgb="FF203040"/>
        <rFont val="WenQuanYi Zen Hei"/>
        <family val="2"/>
      </rPr>
      <t xml:space="preserve">黄 </t>
    </r>
    <r>
      <rPr>
        <b val="true"/>
        <sz val="10.5"/>
        <color rgb="FF203040"/>
        <rFont val="Arial"/>
        <family val="0"/>
        <charset val="1"/>
      </rPr>
      <t xml:space="preserve">/ </t>
    </r>
    <r>
      <rPr>
        <b val="true"/>
        <sz val="10.5"/>
        <color rgb="FF203040"/>
        <rFont val="WenQuanYi Zen Hei"/>
        <family val="2"/>
      </rPr>
      <t xml:space="preserve">红 计数）</t>
    </r>
  </si>
  <si>
    <t xml:space="preserve">家族</t>
  </si>
  <si>
    <t xml:space="preserve">绿</t>
  </si>
  <si>
    <t xml:space="preserve">黄</t>
  </si>
  <si>
    <t xml:space="preserve">红</t>
  </si>
  <si>
    <t xml:space="preserve">生意</t>
  </si>
  <si>
    <t xml:space="preserve">速度</t>
  </si>
  <si>
    <t xml:space="preserve">成本</t>
  </si>
  <si>
    <t xml:space="preserve">品质与食安</t>
  </si>
  <si>
    <t xml:space="preserve">人员</t>
  </si>
  <si>
    <t xml:space="preserve">顾客</t>
  </si>
  <si>
    <r>
      <rPr>
        <b val="true"/>
        <sz val="10.5"/>
        <color rgb="FF203040"/>
        <rFont val="Arial"/>
        <family val="0"/>
        <charset val="1"/>
      </rPr>
      <t xml:space="preserve">C. </t>
    </r>
    <r>
      <rPr>
        <b val="true"/>
        <sz val="10.5"/>
        <color rgb="FF203040"/>
        <rFont val="WenQuanYi Zen Hei"/>
        <family val="2"/>
      </rPr>
      <t xml:space="preserve">今天的三件事（取「优先级矩阵」行动分最高的三项，公式动态排名）</t>
    </r>
  </si>
  <si>
    <t xml:space="preserve">#</t>
  </si>
  <si>
    <t xml:space="preserve">象限</t>
  </si>
  <si>
    <t xml:space="preserve">行动分</t>
  </si>
  <si>
    <t xml:space="preserve">第一动作</t>
  </si>
  <si>
    <r>
      <rPr>
        <i val="true"/>
        <sz val="8.5"/>
        <color rgb="FF6B7280"/>
        <rFont val="WenQuanYi Zen Hei"/>
        <family val="2"/>
      </rPr>
      <t xml:space="preserve">「最新值」</t>
    </r>
    <r>
      <rPr>
        <i val="true"/>
        <sz val="8.5"/>
        <color rgb="FF6B7280"/>
        <rFont val="Arial"/>
        <family val="0"/>
        <charset val="1"/>
      </rPr>
      <t xml:space="preserve">= </t>
    </r>
    <r>
      <rPr>
        <i val="true"/>
        <sz val="8.5"/>
        <color rgb="FF6B7280"/>
        <rFont val="WenQuanYi Zen Hei"/>
        <family val="2"/>
      </rPr>
      <t xml:space="preserve">从「每日经营日报」按 </t>
    </r>
    <r>
      <rPr>
        <i val="true"/>
        <sz val="8.5"/>
        <color rgb="FF6B7280"/>
        <rFont val="Arial"/>
        <family val="0"/>
        <charset val="1"/>
      </rPr>
      <t xml:space="preserve">B3 </t>
    </r>
    <r>
      <rPr>
        <i val="true"/>
        <sz val="8.5"/>
        <color rgb="FF6B7280"/>
        <rFont val="WenQuanYi Zen Hei"/>
        <family val="2"/>
      </rPr>
      <t xml:space="preserve">的日期取当天的数；「目标</t>
    </r>
    <r>
      <rPr>
        <i val="true"/>
        <sz val="8.5"/>
        <color rgb="FF6B7280"/>
        <rFont val="Arial"/>
        <family val="0"/>
        <charset val="1"/>
      </rPr>
      <t xml:space="preserve">/</t>
    </r>
    <r>
      <rPr>
        <i val="true"/>
        <sz val="8.5"/>
        <color rgb="FF6B7280"/>
        <rFont val="WenQuanYi Zen Hei"/>
        <family val="2"/>
      </rPr>
      <t xml:space="preserve">绿线</t>
    </r>
    <r>
      <rPr>
        <i val="true"/>
        <sz val="8.5"/>
        <color rgb="FF6B7280"/>
        <rFont val="Arial"/>
        <family val="0"/>
        <charset val="1"/>
      </rPr>
      <t xml:space="preserve">/</t>
    </r>
    <r>
      <rPr>
        <i val="true"/>
        <sz val="8.5"/>
        <color rgb="FF6B7280"/>
        <rFont val="WenQuanYi Zen Hei"/>
        <family val="2"/>
      </rPr>
      <t xml:space="preserve">黄线</t>
    </r>
    <r>
      <rPr>
        <i val="true"/>
        <sz val="8.5"/>
        <color rgb="FF6B7280"/>
        <rFont val="Arial"/>
        <family val="0"/>
        <charset val="1"/>
      </rPr>
      <t xml:space="preserve">/</t>
    </r>
    <r>
      <rPr>
        <i val="true"/>
        <sz val="8.5"/>
        <color rgb="FF6B7280"/>
        <rFont val="WenQuanYi Zen Hei"/>
        <family val="2"/>
      </rPr>
      <t xml:space="preserve">责任人</t>
    </r>
    <r>
      <rPr>
        <i val="true"/>
        <sz val="8.5"/>
        <color rgb="FF6B7280"/>
        <rFont val="Arial"/>
        <family val="0"/>
        <charset val="1"/>
      </rPr>
      <t xml:space="preserve">/</t>
    </r>
    <r>
      <rPr>
        <i val="true"/>
        <sz val="8.5"/>
        <color rgb="FF6B7280"/>
        <rFont val="WenQuanYi Zen Hei"/>
        <family val="2"/>
      </rPr>
      <t xml:space="preserve">行动卡」</t>
    </r>
    <r>
      <rPr>
        <i val="true"/>
        <sz val="8.5"/>
        <color rgb="FF6B7280"/>
        <rFont val="Arial"/>
        <family val="0"/>
        <charset val="1"/>
      </rPr>
      <t xml:space="preserve">= </t>
    </r>
    <r>
      <rPr>
        <i val="true"/>
        <sz val="8.5"/>
        <color rgb="FF6B7280"/>
        <rFont val="WenQuanYi Zen Hei"/>
        <family val="2"/>
      </rPr>
      <t xml:space="preserve">从「目标与口径」按指标</t>
    </r>
    <r>
      <rPr>
        <i val="true"/>
        <sz val="8.5"/>
        <color rgb="FF6B7280"/>
        <rFont val="Arial"/>
        <family val="0"/>
        <charset val="1"/>
      </rPr>
      <t xml:space="preserve">ID </t>
    </r>
    <r>
      <rPr>
        <i val="true"/>
        <sz val="8.5"/>
        <color rgb="FF6B7280"/>
        <rFont val="WenQuanYi Zen Hei"/>
        <family val="2"/>
      </rPr>
      <t xml:space="preserve">回查；「超线带宽」</t>
    </r>
    <r>
      <rPr>
        <i val="true"/>
        <sz val="8.5"/>
        <color rgb="FF6B7280"/>
        <rFont val="Arial"/>
        <family val="0"/>
        <charset val="1"/>
      </rPr>
      <t xml:space="preserve">= </t>
    </r>
    <r>
      <rPr>
        <i val="true"/>
        <sz val="8.5"/>
        <color rgb="FF6B7280"/>
        <rFont val="WenQuanYi Zen Hei"/>
        <family val="2"/>
      </rPr>
      <t xml:space="preserve">越过绿线几个黄灯带宽（</t>
    </r>
    <r>
      <rPr>
        <i val="true"/>
        <sz val="8.5"/>
        <color rgb="FF6B7280"/>
        <rFont val="Arial"/>
        <family val="0"/>
        <charset val="1"/>
      </rPr>
      <t xml:space="preserve">(</t>
    </r>
    <r>
      <rPr>
        <i val="true"/>
        <sz val="8.5"/>
        <color rgb="FF6B7280"/>
        <rFont val="WenQuanYi Zen Hei"/>
        <family val="2"/>
      </rPr>
      <t xml:space="preserve">绿线−实际</t>
    </r>
    <r>
      <rPr>
        <i val="true"/>
        <sz val="8.5"/>
        <color rgb="FF6B7280"/>
        <rFont val="Arial"/>
        <family val="0"/>
        <charset val="1"/>
      </rPr>
      <t xml:space="preserve">)÷|</t>
    </r>
    <r>
      <rPr>
        <i val="true"/>
        <sz val="8.5"/>
        <color rgb="FF6B7280"/>
        <rFont val="WenQuanYi Zen Hei"/>
        <family val="2"/>
      </rPr>
      <t xml:space="preserve">黄线−绿线</t>
    </r>
    <r>
      <rPr>
        <i val="true"/>
        <sz val="8.5"/>
        <color rgb="FF6B7280"/>
        <rFont val="Arial"/>
        <family val="0"/>
        <charset val="1"/>
      </rPr>
      <t xml:space="preserve">|</t>
    </r>
    <r>
      <rPr>
        <i val="true"/>
        <sz val="8.5"/>
        <color rgb="FF6B7280"/>
        <rFont val="WenQuanYi Zen Hei"/>
        <family val="2"/>
      </rPr>
      <t xml:space="preserve">），用来在不同量纲的指标之间排优先级——不能用相对偏差，否则目标 </t>
    </r>
    <r>
      <rPr>
        <i val="true"/>
        <sz val="8.5"/>
        <color rgb="FF6B7280"/>
        <rFont val="Arial"/>
        <family val="0"/>
        <charset val="1"/>
      </rPr>
      <t xml:space="preserve">2% </t>
    </r>
    <r>
      <rPr>
        <i val="true"/>
        <sz val="8.5"/>
        <color rgb="FF6B7280"/>
        <rFont val="WenQuanYi Zen Hei"/>
        <family val="2"/>
      </rPr>
      <t xml:space="preserve">的迟到率会天天霸占第一。</t>
    </r>
  </si>
  <si>
    <r>
      <rPr>
        <b val="true"/>
        <sz val="16"/>
        <color rgb="FFFFFFFF"/>
        <rFont val="WenQuanYi Zen Hei"/>
        <family val="2"/>
      </rPr>
      <t xml:space="preserve">每日经营日报 </t>
    </r>
    <r>
      <rPr>
        <b val="true"/>
        <sz val="16"/>
        <color rgb="FFFFFFFF"/>
        <rFont val="Arial"/>
        <family val="0"/>
        <charset val="1"/>
      </rPr>
      <t xml:space="preserve">· Daily Operations Report</t>
    </r>
  </si>
  <si>
    <r>
      <rPr>
        <sz val="9"/>
        <color rgb="FF7A1F1A"/>
        <rFont val="WenQuanYi Zen Hei"/>
        <family val="2"/>
      </rPr>
      <t xml:space="preserve">一行一天。浅蓝色是每天要填的原子数，白色是公式（客单价、各类比率、</t>
    </r>
    <r>
      <rPr>
        <sz val="9"/>
        <color rgb="FF7A1F1A"/>
        <rFont val="Arial"/>
        <family val="0"/>
        <charset val="1"/>
      </rPr>
      <t xml:space="preserve">SPLH </t>
    </r>
    <r>
      <rPr>
        <sz val="9"/>
        <color rgb="FF7A1F1A"/>
        <rFont val="WenQuanYi Zen Hei"/>
        <family val="2"/>
      </rPr>
      <t xml:space="preserve">等）自动计算。改任何一个浅蓝格子，右边的派生列和「店长看板」会一起更新。</t>
    </r>
  </si>
  <si>
    <t xml:space="preserve">日期</t>
  </si>
  <si>
    <t xml:space="preserve">星期</t>
  </si>
  <si>
    <t xml:space="preserve">销售预测</t>
  </si>
  <si>
    <t xml:space="preserve">商品件数</t>
  </si>
  <si>
    <t xml:space="preserve">单均件数</t>
  </si>
  <si>
    <t xml:space="preserve">数字渠道占比</t>
  </si>
  <si>
    <t xml:space="preserve">外送销售额</t>
  </si>
  <si>
    <t xml:space="preserve">外送占比</t>
  </si>
  <si>
    <t xml:space="preserve">人工点单数</t>
  </si>
  <si>
    <t xml:space="preserve">附加销售单数</t>
  </si>
  <si>
    <t xml:space="preserve">附加销售率</t>
  </si>
  <si>
    <t xml:space="preserve">食品成本额</t>
  </si>
  <si>
    <t xml:space="preserve">废弃金额</t>
  </si>
  <si>
    <t xml:space="preserve">实际工时</t>
  </si>
  <si>
    <t xml:space="preserve">计划工时</t>
  </si>
  <si>
    <t xml:space="preserve">平均时薪</t>
  </si>
  <si>
    <t xml:space="preserve">班组计划工时</t>
  </si>
  <si>
    <t xml:space="preserve">班组实际工时</t>
  </si>
  <si>
    <t xml:space="preserve">人工成本</t>
  </si>
  <si>
    <r>
      <rPr>
        <b val="true"/>
        <sz val="9"/>
        <color rgb="FFFFFFFF"/>
        <rFont val="WenQuanYi Zen Hei"/>
        <family val="2"/>
      </rPr>
      <t xml:space="preserve">人时销售</t>
    </r>
    <r>
      <rPr>
        <b val="true"/>
        <sz val="9"/>
        <color rgb="FFFFFFFF"/>
        <rFont val="Arial"/>
        <family val="0"/>
        <charset val="1"/>
      </rPr>
      <t xml:space="preserve">SPLH</t>
    </r>
  </si>
  <si>
    <t xml:space="preserve">工时排班偏差</t>
  </si>
  <si>
    <t xml:space="preserve">得来速取餐窗</t>
  </si>
  <si>
    <t xml:space="preserve">后厨制作时长</t>
  </si>
  <si>
    <r>
      <rPr>
        <b val="true"/>
        <sz val="9"/>
        <color rgb="FFFFFFFF"/>
        <rFont val="WenQuanYi Zen Hei"/>
        <family val="2"/>
      </rPr>
      <t xml:space="preserve">前台交付</t>
    </r>
    <r>
      <rPr>
        <b val="true"/>
        <sz val="9"/>
        <color rgb="FFFFFFFF"/>
        <rFont val="Arial"/>
        <family val="0"/>
        <charset val="1"/>
      </rPr>
      <t xml:space="preserve">OTD</t>
    </r>
  </si>
  <si>
    <t xml:space="preserve">外送出餐时长</t>
  </si>
  <si>
    <t xml:space="preserve">达标订单数</t>
  </si>
  <si>
    <t xml:space="preserve">差错事件数</t>
  </si>
  <si>
    <t xml:space="preserve">千单投诉数</t>
  </si>
  <si>
    <t xml:space="preserve">关键温度异常</t>
  </si>
  <si>
    <t xml:space="preserve">保温批次数</t>
  </si>
  <si>
    <t xml:space="preserve">保温废弃数</t>
  </si>
  <si>
    <t xml:space="preserve">保温超时率</t>
  </si>
  <si>
    <t xml:space="preserve">清洁巡检得分</t>
  </si>
  <si>
    <t xml:space="preserve">设备停机分钟</t>
  </si>
  <si>
    <t xml:space="preserve">排班人次</t>
  </si>
  <si>
    <t xml:space="preserve">到岗人次</t>
  </si>
  <si>
    <t xml:space="preserve">迟到人次</t>
  </si>
  <si>
    <t xml:space="preserve">认证人次</t>
  </si>
  <si>
    <t xml:space="preserve">岗位认证覆盖率</t>
  </si>
  <si>
    <r>
      <rPr>
        <b val="true"/>
        <sz val="9"/>
        <color rgb="FFFFFFFF"/>
        <rFont val="Arial"/>
        <family val="0"/>
        <charset val="1"/>
      </rPr>
      <t xml:space="preserve">30</t>
    </r>
    <r>
      <rPr>
        <b val="true"/>
        <sz val="9"/>
        <color rgb="FFFFFFFF"/>
        <rFont val="WenQuanYi Zen Hei"/>
        <family val="2"/>
      </rPr>
      <t xml:space="preserve">日流失率</t>
    </r>
  </si>
  <si>
    <t xml:space="preserve">调研总分</t>
  </si>
  <si>
    <t xml:space="preserve">调研份数</t>
  </si>
  <si>
    <t xml:space="preserve">现金短溢</t>
  </si>
  <si>
    <t xml:space="preserve">店长备注</t>
  </si>
  <si>
    <r>
      <rPr>
        <i val="true"/>
        <sz val="8.5"/>
        <color rgb="FF6B7280"/>
        <rFont val="WenQuanYi Zen Hei"/>
        <family val="2"/>
      </rPr>
      <t xml:space="preserve">浅蓝 </t>
    </r>
    <r>
      <rPr>
        <i val="true"/>
        <sz val="8.5"/>
        <color rgb="FF6B7280"/>
        <rFont val="Arial"/>
        <family val="0"/>
        <charset val="1"/>
      </rPr>
      <t xml:space="preserve">= </t>
    </r>
    <r>
      <rPr>
        <i val="true"/>
        <sz val="8.5"/>
        <color rgb="FF6B7280"/>
        <rFont val="WenQuanYi Zen Hei"/>
        <family val="2"/>
      </rPr>
      <t xml:space="preserve">每天填的原子数（来自 </t>
    </r>
    <r>
      <rPr>
        <i val="true"/>
        <sz val="8.5"/>
        <color rgb="FF6B7280"/>
        <rFont val="Arial"/>
        <family val="0"/>
        <charset val="1"/>
      </rPr>
      <t xml:space="preserve">POS / KDS / </t>
    </r>
    <r>
      <rPr>
        <i val="true"/>
        <sz val="8.5"/>
        <color rgb="FF6B7280"/>
        <rFont val="WenQuanYi Zen Hei"/>
        <family val="2"/>
      </rPr>
      <t xml:space="preserve">得来速计时 </t>
    </r>
    <r>
      <rPr>
        <i val="true"/>
        <sz val="8.5"/>
        <color rgb="FF6B7280"/>
        <rFont val="Arial"/>
        <family val="0"/>
        <charset val="1"/>
      </rPr>
      <t xml:space="preserve">/ </t>
    </r>
    <r>
      <rPr>
        <i val="true"/>
        <sz val="8.5"/>
        <color rgb="FF6B7280"/>
        <rFont val="WenQuanYi Zen Hei"/>
        <family val="2"/>
      </rPr>
      <t xml:space="preserve">排班考勤 </t>
    </r>
    <r>
      <rPr>
        <i val="true"/>
        <sz val="8.5"/>
        <color rgb="FF6B7280"/>
        <rFont val="Arial"/>
        <family val="0"/>
        <charset val="1"/>
      </rPr>
      <t xml:space="preserve">/ </t>
    </r>
    <r>
      <rPr>
        <i val="true"/>
        <sz val="8.5"/>
        <color rgb="FF6B7280"/>
        <rFont val="WenQuanYi Zen Hei"/>
        <family val="2"/>
      </rPr>
      <t xml:space="preserve">废弃登记 </t>
    </r>
    <r>
      <rPr>
        <i val="true"/>
        <sz val="8.5"/>
        <color rgb="FF6B7280"/>
        <rFont val="Arial"/>
        <family val="0"/>
        <charset val="1"/>
      </rPr>
      <t xml:space="preserve">/ </t>
    </r>
    <r>
      <rPr>
        <i val="true"/>
        <sz val="8.5"/>
        <color rgb="FF6B7280"/>
        <rFont val="WenQuanYi Zen Hei"/>
        <family val="2"/>
      </rPr>
      <t xml:space="preserve">食安检查 </t>
    </r>
    <r>
      <rPr>
        <i val="true"/>
        <sz val="8.5"/>
        <color rgb="FF6B7280"/>
        <rFont val="Arial"/>
        <family val="0"/>
        <charset val="1"/>
      </rPr>
      <t xml:space="preserve">/ </t>
    </r>
    <r>
      <rPr>
        <i val="true"/>
        <sz val="8.5"/>
        <color rgb="FF6B7280"/>
        <rFont val="WenQuanYi Zen Hei"/>
        <family val="2"/>
      </rPr>
      <t xml:space="preserve">顾客调研）。白色 </t>
    </r>
    <r>
      <rPr>
        <i val="true"/>
        <sz val="8.5"/>
        <color rgb="FF6B7280"/>
        <rFont val="Arial"/>
        <family val="0"/>
        <charset val="1"/>
      </rPr>
      <t xml:space="preserve">= </t>
    </r>
    <r>
      <rPr>
        <i val="true"/>
        <sz val="8.5"/>
        <color rgb="FF6B7280"/>
        <rFont val="WenQuanYi Zen Hei"/>
        <family val="2"/>
      </rPr>
      <t xml:space="preserve">公式，勿改。条件格式里的红线为示例硬编码值，与「目标与口径」保持一致时才准确——改了阈值请同步这里的条件格式，或直接看「店长看板」的状态列（那里是回查公式，永远准）。</t>
    </r>
  </si>
  <si>
    <r>
      <rPr>
        <b val="true"/>
        <sz val="16"/>
        <color rgb="FFFFFFFF"/>
        <rFont val="WenQuanYi Zen Hei"/>
        <family val="2"/>
      </rPr>
      <t xml:space="preserve">优先级矩阵 </t>
    </r>
    <r>
      <rPr>
        <b val="true"/>
        <sz val="16"/>
        <color rgb="FFFFFFFF"/>
        <rFont val="Arial"/>
        <family val="0"/>
        <charset val="1"/>
      </rPr>
      <t xml:space="preserve">· Priority Matrix</t>
    </r>
    <r>
      <rPr>
        <b val="true"/>
        <sz val="16"/>
        <color rgb="FFFFFFFF"/>
        <rFont val="WenQuanYi Zen Hei"/>
        <family val="2"/>
      </rPr>
      <t xml:space="preserve">（影响度 </t>
    </r>
    <r>
      <rPr>
        <b val="true"/>
        <sz val="16"/>
        <color rgb="FFFFFFFF"/>
        <rFont val="Arial"/>
        <family val="0"/>
        <charset val="1"/>
      </rPr>
      <t xml:space="preserve">× </t>
    </r>
    <r>
      <rPr>
        <b val="true"/>
        <sz val="16"/>
        <color rgb="FFFFFFFF"/>
        <rFont val="WenQuanYi Zen Hei"/>
        <family val="2"/>
      </rPr>
      <t xml:space="preserve">可控度）</t>
    </r>
  </si>
  <si>
    <r>
      <rPr>
        <sz val="9"/>
        <color rgb="FF7A1F1A"/>
        <rFont val="WenQuanYi Zen Hei"/>
        <family val="2"/>
      </rPr>
      <t xml:space="preserve">行动分 </t>
    </r>
    <r>
      <rPr>
        <sz val="9"/>
        <color rgb="FF7A1F1A"/>
        <rFont val="Arial"/>
        <family val="0"/>
        <charset val="1"/>
      </rPr>
      <t xml:space="preserve">= </t>
    </r>
    <r>
      <rPr>
        <sz val="9"/>
        <color rgb="FF7A1F1A"/>
        <rFont val="WenQuanYi Zen Hei"/>
        <family val="2"/>
      </rPr>
      <t xml:space="preserve">超线带宽 </t>
    </r>
    <r>
      <rPr>
        <sz val="9"/>
        <color rgb="FF7A1F1A"/>
        <rFont val="Arial"/>
        <family val="0"/>
        <charset val="1"/>
      </rPr>
      <t xml:space="preserve">× </t>
    </r>
    <r>
      <rPr>
        <sz val="9"/>
        <color rgb="FF7A1F1A"/>
        <rFont val="WenQuanYi Zen Hei"/>
        <family val="2"/>
      </rPr>
      <t xml:space="preserve">影响度 </t>
    </r>
    <r>
      <rPr>
        <sz val="9"/>
        <color rgb="FF7A1F1A"/>
        <rFont val="Arial"/>
        <family val="0"/>
        <charset val="1"/>
      </rPr>
      <t xml:space="preserve">× </t>
    </r>
    <r>
      <rPr>
        <sz val="9"/>
        <color rgb="FF7A1F1A"/>
        <rFont val="WenQuanYi Zen Hei"/>
        <family val="2"/>
      </rPr>
      <t xml:space="preserve">可控度 </t>
    </r>
    <r>
      <rPr>
        <sz val="9"/>
        <color rgb="FF7A1F1A"/>
        <rFont val="Arial"/>
        <family val="0"/>
        <charset val="1"/>
      </rPr>
      <t xml:space="preserve">×</t>
    </r>
    <r>
      <rPr>
        <sz val="9"/>
        <color rgb="FF7A1F1A"/>
        <rFont val="WenQuanYi Zen Hei"/>
        <family val="2"/>
      </rPr>
      <t xml:space="preserve">（红灯 </t>
    </r>
    <r>
      <rPr>
        <sz val="9"/>
        <color rgb="FF7A1F1A"/>
        <rFont val="Arial"/>
        <family val="0"/>
        <charset val="1"/>
      </rPr>
      <t xml:space="preserve">2 </t>
    </r>
    <r>
      <rPr>
        <sz val="9"/>
        <color rgb="FF7A1F1A"/>
        <rFont val="WenQuanYi Zen Hei"/>
        <family val="2"/>
      </rPr>
      <t xml:space="preserve">倍）。全部是公式：改「目标与口径」的阈值或影响度</t>
    </r>
    <r>
      <rPr>
        <sz val="9"/>
        <color rgb="FF7A1F1A"/>
        <rFont val="Arial"/>
        <family val="0"/>
        <charset val="1"/>
      </rPr>
      <t xml:space="preserve">/</t>
    </r>
    <r>
      <rPr>
        <sz val="9"/>
        <color rgb="FF7A1F1A"/>
        <rFont val="WenQuanYi Zen Hei"/>
        <family val="2"/>
      </rPr>
      <t xml:space="preserve">可控度，这里的分数和象限会一起变。</t>
    </r>
  </si>
  <si>
    <r>
      <rPr>
        <b val="true"/>
        <sz val="9"/>
        <color rgb="FFFFFFFF"/>
        <rFont val="WenQuanYi Zen Hei"/>
        <family val="2"/>
      </rPr>
      <t xml:space="preserve">指标</t>
    </r>
    <r>
      <rPr>
        <b val="true"/>
        <sz val="9"/>
        <color rgb="FFFFFFFF"/>
        <rFont val="Arial"/>
        <family val="0"/>
        <charset val="1"/>
      </rPr>
      <t xml:space="preserve">ID</t>
    </r>
  </si>
  <si>
    <t xml:space="preserve">影响度</t>
  </si>
  <si>
    <t xml:space="preserve">可控度</t>
  </si>
  <si>
    <t xml:space="preserve">排名</t>
  </si>
  <si>
    <t xml:space="preserve">delivery_rating</t>
  </si>
  <si>
    <r>
      <rPr>
        <sz val="9"/>
        <color rgb="FF203040"/>
        <rFont val="WenQuanYi Zen Hei"/>
        <family val="2"/>
      </rPr>
      <t xml:space="preserve">全时段慢</t>
    </r>
    <r>
      <rPr>
        <sz val="9"/>
        <color rgb="FF203040"/>
        <rFont val="Arial"/>
        <family val="0"/>
        <charset val="1"/>
      </rPr>
      <t xml:space="preserve">=</t>
    </r>
    <r>
      <rPr>
        <sz val="9"/>
        <color rgb="FF203040"/>
        <rFont val="WenQuanYi Zen Hei"/>
        <family val="2"/>
      </rPr>
      <t xml:space="preserve">打包流程问题（上报）；只高峰慢</t>
    </r>
    <r>
      <rPr>
        <sz val="9"/>
        <color rgb="FF203040"/>
        <rFont val="Arial"/>
        <family val="0"/>
        <charset val="1"/>
      </rPr>
      <t xml:space="preserve">=</t>
    </r>
    <r>
      <rPr>
        <sz val="9"/>
        <color rgb="FF203040"/>
        <rFont val="WenQuanYi Zen Hei"/>
        <family val="2"/>
      </rPr>
      <t xml:space="preserve">给外送单独留打包位</t>
    </r>
  </si>
  <si>
    <t xml:space="preserve">speed_hit_rate</t>
  </si>
  <si>
    <r>
      <rPr>
        <sz val="9"/>
        <color rgb="FF203040"/>
        <rFont val="WenQuanYi Zen Hei"/>
        <family val="2"/>
      </rPr>
      <t xml:space="preserve">先分段定位（点单</t>
    </r>
    <r>
      <rPr>
        <sz val="9"/>
        <color rgb="FF203040"/>
        <rFont val="Arial"/>
        <family val="0"/>
        <charset val="1"/>
      </rPr>
      <t xml:space="preserve">/</t>
    </r>
    <r>
      <rPr>
        <sz val="9"/>
        <color rgb="FF203040"/>
        <rFont val="WenQuanYi Zen Hei"/>
        <family val="2"/>
      </rPr>
      <t xml:space="preserve">排队</t>
    </r>
    <r>
      <rPr>
        <sz val="9"/>
        <color rgb="FF203040"/>
        <rFont val="Arial"/>
        <family val="0"/>
        <charset val="1"/>
      </rPr>
      <t xml:space="preserve">/</t>
    </r>
    <r>
      <rPr>
        <sz val="9"/>
        <color rgb="FF203040"/>
        <rFont val="WenQuanYi Zen Hei"/>
        <family val="2"/>
      </rPr>
      <t xml:space="preserve">取餐窗</t>
    </r>
    <r>
      <rPr>
        <sz val="9"/>
        <color rgb="FF203040"/>
        <rFont val="Arial"/>
        <family val="0"/>
        <charset val="1"/>
      </rPr>
      <t xml:space="preserve">/</t>
    </r>
    <r>
      <rPr>
        <sz val="9"/>
        <color rgb="FF203040"/>
        <rFont val="WenQuanYi Zen Hei"/>
        <family val="2"/>
      </rPr>
      <t xml:space="preserve">制作），再看是结构问题还是产能问题</t>
    </r>
  </si>
  <si>
    <t xml:space="preserve">late_rate</t>
  </si>
  <si>
    <r>
      <rPr>
        <sz val="9"/>
        <color rgb="FF203040"/>
        <rFont val="WenQuanYi Zen Hei"/>
        <family val="2"/>
      </rPr>
      <t xml:space="preserve">看 </t>
    </r>
    <r>
      <rPr>
        <sz val="9"/>
        <color rgb="FF203040"/>
        <rFont val="Arial"/>
        <family val="0"/>
        <charset val="1"/>
      </rPr>
      <t xml:space="preserve">SPLH </t>
    </r>
    <r>
      <rPr>
        <sz val="9"/>
        <color rgb="FF203040"/>
        <rFont val="WenQuanYi Zen Hei"/>
        <family val="2"/>
      </rPr>
      <t xml:space="preserve">与速度的组合：都差 </t>
    </r>
    <r>
      <rPr>
        <sz val="9"/>
        <color rgb="FF203040"/>
        <rFont val="Arial"/>
        <family val="0"/>
        <charset val="1"/>
      </rPr>
      <t xml:space="preserve">= </t>
    </r>
    <r>
      <rPr>
        <sz val="9"/>
        <color rgb="FF203040"/>
        <rFont val="WenQuanYi Zen Hei"/>
        <family val="2"/>
      </rPr>
      <t xml:space="preserve">排班结构错，调岗位不是加人头</t>
    </r>
  </si>
  <si>
    <t xml:space="preserve">equipment_downtime</t>
  </si>
  <si>
    <t xml:space="preserve">先决定是否停售并同步到所有点单渠道（含外送平台），再报修</t>
  </si>
  <si>
    <t xml:space="preserve">labor_schedule_variance</t>
  </si>
  <si>
    <t xml:space="preserve">upsell_rate</t>
  </si>
  <si>
    <r>
      <rPr>
        <sz val="9"/>
        <color rgb="FF203040"/>
        <rFont val="WenQuanYi Zen Hei"/>
        <family val="2"/>
      </rPr>
      <t xml:space="preserve">拉附加销售率 </t>
    </r>
    <r>
      <rPr>
        <sz val="9"/>
        <color rgb="FF203040"/>
        <rFont val="Arial"/>
        <family val="0"/>
        <charset val="1"/>
      </rPr>
      <t xml:space="preserve">× </t>
    </r>
    <r>
      <rPr>
        <sz val="9"/>
        <color rgb="FF203040"/>
        <rFont val="WenQuanYi Zen Hei"/>
        <family val="2"/>
      </rPr>
      <t xml:space="preserve">收银员，训练员跟班 </t>
    </r>
    <r>
      <rPr>
        <sz val="9"/>
        <color rgb="FF203040"/>
        <rFont val="Arial"/>
        <family val="0"/>
        <charset val="1"/>
      </rPr>
      <t xml:space="preserve">2 </t>
    </r>
    <r>
      <rPr>
        <sz val="9"/>
        <color rgb="FF203040"/>
        <rFont val="WenQuanYi Zen Hei"/>
        <family val="2"/>
      </rPr>
      <t xml:space="preserve">小时；只主推 </t>
    </r>
    <r>
      <rPr>
        <sz val="9"/>
        <color rgb="FF203040"/>
        <rFont val="Arial"/>
        <family val="0"/>
        <charset val="1"/>
      </rPr>
      <t xml:space="preserve">1 </t>
    </r>
    <r>
      <rPr>
        <sz val="9"/>
        <color rgb="FF203040"/>
        <rFont val="WenQuanYi Zen Hei"/>
        <family val="2"/>
      </rPr>
      <t xml:space="preserve">个品</t>
    </r>
  </si>
  <si>
    <t xml:space="preserve">holding_time_violation</t>
  </si>
  <si>
    <r>
      <rPr>
        <sz val="9"/>
        <color rgb="FF203040"/>
        <rFont val="WenQuanYi Zen Hei"/>
        <family val="2"/>
      </rPr>
      <t xml:space="preserve">分成品</t>
    </r>
    <r>
      <rPr>
        <sz val="9"/>
        <color rgb="FF203040"/>
        <rFont val="Arial"/>
        <family val="0"/>
        <charset val="1"/>
      </rPr>
      <t xml:space="preserve">/</t>
    </r>
    <r>
      <rPr>
        <sz val="9"/>
        <color rgb="FF203040"/>
        <rFont val="WenQuanYi Zen Hei"/>
        <family val="2"/>
      </rPr>
      <t xml:space="preserve">原料</t>
    </r>
    <r>
      <rPr>
        <sz val="9"/>
        <color rgb="FF203040"/>
        <rFont val="Arial"/>
        <family val="0"/>
        <charset val="1"/>
      </rPr>
      <t xml:space="preserve">/</t>
    </r>
    <r>
      <rPr>
        <sz val="9"/>
        <color rgb="FF203040"/>
        <rFont val="WenQuanYi Zen Hei"/>
        <family val="2"/>
      </rPr>
      <t xml:space="preserve">保温三类：成品高改批量，原料高查先进先出</t>
    </r>
  </si>
  <si>
    <t xml:space="preserve">net_sales</t>
  </si>
  <si>
    <r>
      <rPr>
        <sz val="9"/>
        <color rgb="FF203040"/>
        <rFont val="WenQuanYi Zen Hei"/>
        <family val="2"/>
      </rPr>
      <t xml:space="preserve">分清是客流少还是客单少：</t>
    </r>
    <r>
      <rPr>
        <sz val="9"/>
        <color rgb="FF203040"/>
        <rFont val="Arial"/>
        <family val="0"/>
        <charset val="1"/>
      </rPr>
      <t xml:space="preserve">GC </t>
    </r>
    <r>
      <rPr>
        <sz val="9"/>
        <color rgb="FF203040"/>
        <rFont val="WenQuanYi Zen Hei"/>
        <family val="2"/>
      </rPr>
      <t xml:space="preserve">跌查外部与曝光，客单跌走附加销售</t>
    </r>
  </si>
  <si>
    <t xml:space="preserve">waste_pct</t>
  </si>
  <si>
    <t xml:space="preserve">guest_count</t>
  </si>
  <si>
    <r>
      <rPr>
        <b val="true"/>
        <sz val="9"/>
        <color rgb="FF203040"/>
        <rFont val="WenQuanYi Zen Hei"/>
        <family val="2"/>
      </rPr>
      <t xml:space="preserve">交易笔数 </t>
    </r>
    <r>
      <rPr>
        <b val="true"/>
        <sz val="9"/>
        <color rgb="FF203040"/>
        <rFont val="Arial"/>
        <family val="0"/>
        <charset val="1"/>
      </rPr>
      <t xml:space="preserve">(GC)</t>
    </r>
  </si>
  <si>
    <t xml:space="preserve">delivery_handover_time</t>
  </si>
  <si>
    <t xml:space="preserve">food_cost_pct</t>
  </si>
  <si>
    <t xml:space="preserve">station_certification</t>
  </si>
  <si>
    <r>
      <rPr>
        <sz val="9"/>
        <color rgb="FF203040"/>
        <rFont val="WenQuanYi Zen Hei"/>
        <family val="2"/>
      </rPr>
      <t xml:space="preserve">按司龄段</t>
    </r>
    <r>
      <rPr>
        <sz val="9"/>
        <color rgb="FF203040"/>
        <rFont val="Arial"/>
        <family val="0"/>
        <charset val="1"/>
      </rPr>
      <t xml:space="preserve">/</t>
    </r>
    <r>
      <rPr>
        <sz val="9"/>
        <color rgb="FF203040"/>
        <rFont val="WenQuanYi Zen Hei"/>
        <family val="2"/>
      </rPr>
      <t xml:space="preserve">岗位下钻；</t>
    </r>
    <r>
      <rPr>
        <sz val="9"/>
        <color rgb="FF203040"/>
        <rFont val="Arial"/>
        <family val="0"/>
        <charset val="1"/>
      </rPr>
      <t xml:space="preserve">&lt;90 </t>
    </r>
    <r>
      <rPr>
        <sz val="9"/>
        <color rgb="FF203040"/>
        <rFont val="WenQuanYi Zen Hei"/>
        <family val="2"/>
      </rPr>
      <t xml:space="preserve">天流失高 </t>
    </r>
    <r>
      <rPr>
        <sz val="9"/>
        <color rgb="FF203040"/>
        <rFont val="Arial"/>
        <family val="0"/>
        <charset val="1"/>
      </rPr>
      <t xml:space="preserve">= </t>
    </r>
    <r>
      <rPr>
        <sz val="9"/>
        <color rgb="FF203040"/>
        <rFont val="WenQuanYi Zen Hei"/>
        <family val="2"/>
      </rPr>
      <t xml:space="preserve">新人被丢在高峰上</t>
    </r>
  </si>
  <si>
    <t xml:space="preserve">sales_vs_forecast</t>
  </si>
  <si>
    <t xml:space="preserve">cleanliness_score</t>
  </si>
  <si>
    <t xml:space="preserve">分区看：洗手间失分优先（顾客对干净的判断在那里）</t>
  </si>
  <si>
    <t xml:space="preserve">avg_check</t>
  </si>
  <si>
    <r>
      <rPr>
        <b val="true"/>
        <sz val="9"/>
        <color rgb="FF203040"/>
        <rFont val="WenQuanYi Zen Hei"/>
        <family val="2"/>
      </rPr>
      <t xml:space="preserve">客单价 </t>
    </r>
    <r>
      <rPr>
        <b val="true"/>
        <sz val="9"/>
        <color rgb="FF203040"/>
        <rFont val="Arial"/>
        <family val="0"/>
        <charset val="1"/>
      </rPr>
      <t xml:space="preserve">(TC)</t>
    </r>
  </si>
  <si>
    <t xml:space="preserve">delivery_share</t>
  </si>
  <si>
    <t xml:space="preserve">外送销售占比</t>
  </si>
  <si>
    <t xml:space="preserve">items_per_check</t>
  </si>
  <si>
    <t xml:space="preserve">dt_total_time</t>
  </si>
  <si>
    <t xml:space="preserve">dt_window_time</t>
  </si>
  <si>
    <t xml:space="preserve">得来速取餐窗时长</t>
  </si>
  <si>
    <t xml:space="preserve">front_otd</t>
  </si>
  <si>
    <r>
      <rPr>
        <b val="true"/>
        <sz val="9"/>
        <color rgb="FF203040"/>
        <rFont val="WenQuanYi Zen Hei"/>
        <family val="2"/>
      </rPr>
      <t xml:space="preserve">前台交付时长 </t>
    </r>
    <r>
      <rPr>
        <b val="true"/>
        <sz val="9"/>
        <color rgb="FF203040"/>
        <rFont val="Arial"/>
        <family val="0"/>
        <charset val="1"/>
      </rPr>
      <t xml:space="preserve">(OTD)</t>
    </r>
  </si>
  <si>
    <t xml:space="preserve">kds_prep_time</t>
  </si>
  <si>
    <t xml:space="preserve">order_accuracy</t>
  </si>
  <si>
    <r>
      <rPr>
        <sz val="9"/>
        <color rgb="FF203040"/>
        <rFont val="WenQuanYi Zen Hei"/>
        <family val="2"/>
      </rPr>
      <t xml:space="preserve">按差错类型归因；同一 </t>
    </r>
    <r>
      <rPr>
        <sz val="9"/>
        <color rgb="FF203040"/>
        <rFont val="Arial"/>
        <family val="0"/>
        <charset val="1"/>
      </rPr>
      <t xml:space="preserve">tag </t>
    </r>
    <r>
      <rPr>
        <sz val="9"/>
        <color rgb="FF203040"/>
        <rFont val="WenQuanYi Zen Hei"/>
        <family val="2"/>
      </rPr>
      <t xml:space="preserve">一周 </t>
    </r>
    <r>
      <rPr>
        <sz val="9"/>
        <color rgb="FF203040"/>
        <rFont val="Arial"/>
        <family val="0"/>
        <charset val="1"/>
      </rPr>
      <t xml:space="preserve">3 </t>
    </r>
    <r>
      <rPr>
        <sz val="9"/>
        <color rgb="FF203040"/>
        <rFont val="WenQuanYi Zen Hei"/>
        <family val="2"/>
      </rPr>
      <t xml:space="preserve">次以上 </t>
    </r>
    <r>
      <rPr>
        <sz val="9"/>
        <color rgb="FF203040"/>
        <rFont val="Arial"/>
        <family val="0"/>
        <charset val="1"/>
      </rPr>
      <t xml:space="preserve">= </t>
    </r>
    <r>
      <rPr>
        <sz val="9"/>
        <color rgb="FF203040"/>
        <rFont val="WenQuanYi Zen Hei"/>
        <family val="2"/>
      </rPr>
      <t xml:space="preserve">流程缺陷，进周复盘</t>
    </r>
  </si>
  <si>
    <t xml:space="preserve">cash_over_short</t>
  </si>
  <si>
    <t xml:space="preserve">定位班次与收银员，复核交接记录，当天闭环不隔夜</t>
  </si>
  <si>
    <t xml:space="preserve">labor_cost_pct</t>
  </si>
  <si>
    <t xml:space="preserve">splh</t>
  </si>
  <si>
    <r>
      <rPr>
        <b val="true"/>
        <sz val="9"/>
        <color rgb="FF203040"/>
        <rFont val="WenQuanYi Zen Hei"/>
        <family val="2"/>
      </rPr>
      <t xml:space="preserve">人时销售 </t>
    </r>
    <r>
      <rPr>
        <b val="true"/>
        <sz val="9"/>
        <color rgb="FF203040"/>
        <rFont val="Arial"/>
        <family val="0"/>
        <charset val="1"/>
      </rPr>
      <t xml:space="preserve">(SPLH)</t>
    </r>
  </si>
  <si>
    <t xml:space="preserve">critical_temp_fail</t>
  </si>
  <si>
    <r>
      <rPr>
        <sz val="9"/>
        <color rgb="FF203040"/>
        <rFont val="WenQuanYi Zen Hei"/>
        <family val="2"/>
      </rPr>
      <t xml:space="preserve">关键项 </t>
    </r>
    <r>
      <rPr>
        <sz val="9"/>
        <color rgb="FF203040"/>
        <rFont val="Arial"/>
        <family val="0"/>
        <charset val="1"/>
      </rPr>
      <t xml:space="preserve">fail </t>
    </r>
    <r>
      <rPr>
        <sz val="9"/>
        <color rgb="FF203040"/>
        <rFont val="WenQuanYi Zen Hei"/>
        <family val="2"/>
      </rPr>
      <t xml:space="preserve">立即停止该产品出品，整改复检通过才恢复</t>
    </r>
  </si>
  <si>
    <t xml:space="preserve">food_safety_score</t>
  </si>
  <si>
    <t xml:space="preserve">attendance_rate</t>
  </si>
  <si>
    <t xml:space="preserve">crew_turnover_30d</t>
  </si>
  <si>
    <r>
      <rPr>
        <b val="true"/>
        <sz val="9"/>
        <color rgb="FF203040"/>
        <rFont val="Arial"/>
        <family val="0"/>
        <charset val="1"/>
      </rPr>
      <t xml:space="preserve">30</t>
    </r>
    <r>
      <rPr>
        <b val="true"/>
        <sz val="9"/>
        <color rgb="FF203040"/>
        <rFont val="WenQuanYi Zen Hei"/>
        <family val="2"/>
      </rPr>
      <t xml:space="preserve">日员工流失率</t>
    </r>
  </si>
  <si>
    <t xml:space="preserve">complaints_per_1k</t>
  </si>
  <si>
    <t xml:space="preserve">csat</t>
  </si>
  <si>
    <t xml:space="preserve">四象限的含义</t>
  </si>
  <si>
    <t xml:space="preserve">含义</t>
  </si>
  <si>
    <r>
      <rPr>
        <b val="true"/>
        <sz val="9"/>
        <color rgb="FF203040"/>
        <rFont val="Arial"/>
        <family val="0"/>
        <charset val="1"/>
      </rPr>
      <t xml:space="preserve">Q1 </t>
    </r>
    <r>
      <rPr>
        <b val="true"/>
        <sz val="9"/>
        <color rgb="FF203040"/>
        <rFont val="WenQuanYi Zen Hei"/>
        <family val="2"/>
      </rPr>
      <t xml:space="preserve">今天就做</t>
    </r>
  </si>
  <si>
    <t xml:space="preserve">高</t>
  </si>
  <si>
    <t xml:space="preserve">这就是今天班前会的内容</t>
  </si>
  <si>
    <r>
      <rPr>
        <b val="true"/>
        <sz val="9"/>
        <color rgb="FF203040"/>
        <rFont val="Arial"/>
        <family val="0"/>
        <charset val="1"/>
      </rPr>
      <t xml:space="preserve">Q2 </t>
    </r>
    <r>
      <rPr>
        <b val="true"/>
        <sz val="9"/>
        <color rgb="FF203040"/>
        <rFont val="WenQuanYi Zen Hei"/>
        <family val="2"/>
      </rPr>
      <t xml:space="preserve">上报求援</t>
    </r>
  </si>
  <si>
    <t xml:space="preserve">低</t>
  </si>
  <si>
    <r>
      <rPr>
        <sz val="9"/>
        <color rgb="FF203040"/>
        <rFont val="WenQuanYi Zen Hei"/>
        <family val="2"/>
      </rPr>
      <t xml:space="preserve">影响大但不在你手上——找营运经理</t>
    </r>
    <r>
      <rPr>
        <sz val="9"/>
        <color rgb="FF203040"/>
        <rFont val="Arial"/>
        <family val="0"/>
        <charset val="1"/>
      </rPr>
      <t xml:space="preserve">/</t>
    </r>
    <r>
      <rPr>
        <sz val="9"/>
        <color rgb="FF203040"/>
        <rFont val="WenQuanYi Zen Hei"/>
        <family val="2"/>
      </rPr>
      <t xml:space="preserve">供应商</t>
    </r>
    <r>
      <rPr>
        <sz val="9"/>
        <color rgb="FF203040"/>
        <rFont val="Arial"/>
        <family val="0"/>
        <charset val="1"/>
      </rPr>
      <t xml:space="preserve">/</t>
    </r>
    <r>
      <rPr>
        <sz val="9"/>
        <color rgb="FF203040"/>
        <rFont val="WenQuanYi Zen Hei"/>
        <family val="2"/>
      </rPr>
      <t xml:space="preserve">总部，别自己耗一整天</t>
    </r>
  </si>
  <si>
    <r>
      <rPr>
        <b val="true"/>
        <sz val="9"/>
        <color rgb="FF203040"/>
        <rFont val="Arial"/>
        <family val="0"/>
        <charset val="1"/>
      </rPr>
      <t xml:space="preserve">Q3 </t>
    </r>
    <r>
      <rPr>
        <b val="true"/>
        <sz val="9"/>
        <color rgb="FF203040"/>
        <rFont val="WenQuanYi Zen Hei"/>
        <family val="2"/>
      </rPr>
      <t xml:space="preserve">顺手做掉</t>
    </r>
  </si>
  <si>
    <t xml:space="preserve">一动就好，交给值班经理清单化处理</t>
  </si>
  <si>
    <r>
      <rPr>
        <b val="true"/>
        <sz val="9"/>
        <color rgb="FF203040"/>
        <rFont val="Arial"/>
        <family val="0"/>
        <charset val="1"/>
      </rPr>
      <t xml:space="preserve">Q4 </t>
    </r>
    <r>
      <rPr>
        <b val="true"/>
        <sz val="9"/>
        <color rgb="FF203040"/>
        <rFont val="WenQuanYi Zen Hei"/>
        <family val="2"/>
      </rPr>
      <t xml:space="preserve">记录观察</t>
    </r>
  </si>
  <si>
    <t xml:space="preserve">别在今天的会上讲，记进周复盘看趋势</t>
  </si>
  <si>
    <r>
      <rPr>
        <i val="true"/>
        <sz val="8.5"/>
        <color rgb="FF6B7280"/>
        <rFont val="WenQuanYi Zen Hei"/>
        <family val="2"/>
      </rPr>
      <t xml:space="preserve">行序在生成时按行动分排好，但「排名」列（</t>
    </r>
    <r>
      <rPr>
        <i val="true"/>
        <sz val="8.5"/>
        <color rgb="FF6B7280"/>
        <rFont val="Arial"/>
        <family val="0"/>
        <charset val="1"/>
      </rPr>
      <t xml:space="preserve">M</t>
    </r>
    <r>
      <rPr>
        <i val="true"/>
        <sz val="8.5"/>
        <color rgb="FF6B7280"/>
        <rFont val="WenQuanYi Zen Hei"/>
        <family val="2"/>
      </rPr>
      <t xml:space="preserve">）是公式：改了阈值或影响度</t>
    </r>
    <r>
      <rPr>
        <i val="true"/>
        <sz val="8.5"/>
        <color rgb="FF6B7280"/>
        <rFont val="Arial"/>
        <family val="0"/>
        <charset val="1"/>
      </rPr>
      <t xml:space="preserve">/</t>
    </r>
    <r>
      <rPr>
        <i val="true"/>
        <sz val="8.5"/>
        <color rgb="FF6B7280"/>
        <rFont val="WenQuanYi Zen Hei"/>
        <family val="2"/>
      </rPr>
      <t xml:space="preserve">可控度，排名会立刻重算，「店长看板」的三件事也跟着换人——它取的是排名前三，不是前三行。想让行序也跟着动，用「数据 → 排序」按 </t>
    </r>
    <r>
      <rPr>
        <i val="true"/>
        <sz val="8.5"/>
        <color rgb="FF6B7280"/>
        <rFont val="Arial"/>
        <family val="0"/>
        <charset val="1"/>
      </rPr>
      <t xml:space="preserve">J </t>
    </r>
    <r>
      <rPr>
        <i val="true"/>
        <sz val="8.5"/>
        <color rgb="FF6B7280"/>
        <rFont val="WenQuanYi Zen Hei"/>
        <family val="2"/>
      </rPr>
      <t xml:space="preserve">列降序即可。</t>
    </r>
  </si>
  <si>
    <r>
      <rPr>
        <b val="true"/>
        <sz val="16"/>
        <color rgb="FFFFFFFF"/>
        <rFont val="WenQuanYi Zen Hei"/>
        <family val="2"/>
      </rPr>
      <t xml:space="preserve">时段矩阵 </t>
    </r>
    <r>
      <rPr>
        <b val="true"/>
        <sz val="16"/>
        <color rgb="FFFFFFFF"/>
        <rFont val="Arial"/>
        <family val="0"/>
        <charset val="1"/>
      </rPr>
      <t xml:space="preserve">· Interval Matrix</t>
    </r>
    <r>
      <rPr>
        <b val="true"/>
        <sz val="16"/>
        <color rgb="FFFFFFFF"/>
        <rFont val="WenQuanYi Zen Hei"/>
        <family val="2"/>
      </rPr>
      <t xml:space="preserve">（</t>
    </r>
    <r>
      <rPr>
        <b val="true"/>
        <sz val="16"/>
        <color rgb="FFFFFFFF"/>
        <rFont val="Arial"/>
        <family val="0"/>
        <charset val="1"/>
      </rPr>
      <t xml:space="preserve">15 </t>
    </r>
    <r>
      <rPr>
        <b val="true"/>
        <sz val="16"/>
        <color rgb="FFFFFFFF"/>
        <rFont val="WenQuanYi Zen Hei"/>
        <family val="2"/>
      </rPr>
      <t xml:space="preserve">分钟 </t>
    </r>
    <r>
      <rPr>
        <b val="true"/>
        <sz val="16"/>
        <color rgb="FFFFFFFF"/>
        <rFont val="Arial"/>
        <family val="0"/>
        <charset val="1"/>
      </rPr>
      <t xml:space="preserve">× </t>
    </r>
    <r>
      <rPr>
        <b val="true"/>
        <sz val="16"/>
        <color rgb="FFFFFFFF"/>
        <rFont val="WenQuanYi Zen Hei"/>
        <family val="2"/>
      </rPr>
      <t xml:space="preserve">指标）</t>
    </r>
  </si>
  <si>
    <r>
      <rPr>
        <sz val="9"/>
        <color rgb="FF7A1F1A"/>
        <rFont val="Arial"/>
        <family val="0"/>
        <charset val="1"/>
      </rPr>
      <t xml:space="preserve">2026-08-18 </t>
    </r>
    <r>
      <rPr>
        <sz val="9"/>
        <color rgb="FF7A1F1A"/>
        <rFont val="WenQuanYi Zen Hei"/>
        <family val="2"/>
      </rPr>
      <t xml:space="preserve">全天，每格 </t>
    </r>
    <r>
      <rPr>
        <sz val="9"/>
        <color rgb="FF7A1F1A"/>
        <rFont val="Arial"/>
        <family val="0"/>
        <charset val="1"/>
      </rPr>
      <t xml:space="preserve">15 </t>
    </r>
    <r>
      <rPr>
        <sz val="9"/>
        <color rgb="FF7A1F1A"/>
        <rFont val="WenQuanYi Zen Hei"/>
        <family val="2"/>
      </rPr>
      <t xml:space="preserve">分钟。看法只有一条：单点飘红是噪声，连成一片才是问题——下方自动列出了连续 </t>
    </r>
    <r>
      <rPr>
        <sz val="9"/>
        <color rgb="FF7A1F1A"/>
        <rFont val="Arial"/>
        <family val="0"/>
        <charset val="1"/>
      </rPr>
      <t xml:space="preserve">2 </t>
    </r>
    <r>
      <rPr>
        <sz val="9"/>
        <color rgb="FF7A1F1A"/>
        <rFont val="WenQuanYi Zen Hei"/>
        <family val="2"/>
      </rPr>
      <t xml:space="preserve">格以上的告警窗口。</t>
    </r>
  </si>
  <si>
    <t xml:space="preserve">单位</t>
  </si>
  <si>
    <t xml:space="preserve">06:00</t>
  </si>
  <si>
    <t xml:space="preserve">06:15</t>
  </si>
  <si>
    <t xml:space="preserve">06:30</t>
  </si>
  <si>
    <t xml:space="preserve">06:45</t>
  </si>
  <si>
    <t xml:space="preserve">07:00</t>
  </si>
  <si>
    <t xml:space="preserve">07:15</t>
  </si>
  <si>
    <t xml:space="preserve">07:30</t>
  </si>
  <si>
    <t xml:space="preserve">07:45</t>
  </si>
  <si>
    <t xml:space="preserve">08:00</t>
  </si>
  <si>
    <t xml:space="preserve">08:15</t>
  </si>
  <si>
    <t xml:space="preserve">08:30</t>
  </si>
  <si>
    <t xml:space="preserve">08:45</t>
  </si>
  <si>
    <t xml:space="preserve">09:00</t>
  </si>
  <si>
    <t xml:space="preserve">09:15</t>
  </si>
  <si>
    <t xml:space="preserve">09:30</t>
  </si>
  <si>
    <t xml:space="preserve">09:45</t>
  </si>
  <si>
    <t xml:space="preserve">10:00</t>
  </si>
  <si>
    <t xml:space="preserve">10:15</t>
  </si>
  <si>
    <t xml:space="preserve">10:30</t>
  </si>
  <si>
    <t xml:space="preserve">10:45</t>
  </si>
  <si>
    <t xml:space="preserve">11:00</t>
  </si>
  <si>
    <t xml:space="preserve">11:15</t>
  </si>
  <si>
    <t xml:space="preserve">11:30</t>
  </si>
  <si>
    <t xml:space="preserve">11:45</t>
  </si>
  <si>
    <t xml:space="preserve">12:00</t>
  </si>
  <si>
    <t xml:space="preserve">12:15</t>
  </si>
  <si>
    <t xml:space="preserve">12:30</t>
  </si>
  <si>
    <t xml:space="preserve">12:45</t>
  </si>
  <si>
    <t xml:space="preserve">13:00</t>
  </si>
  <si>
    <t xml:space="preserve">13:15</t>
  </si>
  <si>
    <t xml:space="preserve">13:30</t>
  </si>
  <si>
    <t xml:space="preserve">13:45</t>
  </si>
  <si>
    <t xml:space="preserve">14:00</t>
  </si>
  <si>
    <t xml:space="preserve">14:15</t>
  </si>
  <si>
    <t xml:space="preserve">14:30</t>
  </si>
  <si>
    <t xml:space="preserve">14:45</t>
  </si>
  <si>
    <t xml:space="preserve">15:00</t>
  </si>
  <si>
    <t xml:space="preserve">15:15</t>
  </si>
  <si>
    <t xml:space="preserve">15:30</t>
  </si>
  <si>
    <t xml:space="preserve">15:45</t>
  </si>
  <si>
    <t xml:space="preserve">16:00</t>
  </si>
  <si>
    <t xml:space="preserve">16:15</t>
  </si>
  <si>
    <t xml:space="preserve">16:30</t>
  </si>
  <si>
    <t xml:space="preserve">16:45</t>
  </si>
  <si>
    <t xml:space="preserve">17:00</t>
  </si>
  <si>
    <t xml:space="preserve">17:15</t>
  </si>
  <si>
    <t xml:space="preserve">17:30</t>
  </si>
  <si>
    <t xml:space="preserve">17:45</t>
  </si>
  <si>
    <t xml:space="preserve">18:00</t>
  </si>
  <si>
    <t xml:space="preserve">18:15</t>
  </si>
  <si>
    <t xml:space="preserve">18:30</t>
  </si>
  <si>
    <t xml:space="preserve">18:45</t>
  </si>
  <si>
    <t xml:space="preserve">19:00</t>
  </si>
  <si>
    <t xml:space="preserve">19:15</t>
  </si>
  <si>
    <t xml:space="preserve">19:30</t>
  </si>
  <si>
    <t xml:space="preserve">19:45</t>
  </si>
  <si>
    <t xml:space="preserve">20:00</t>
  </si>
  <si>
    <t xml:space="preserve">20:15</t>
  </si>
  <si>
    <t xml:space="preserve">20:30</t>
  </si>
  <si>
    <t xml:space="preserve">20:45</t>
  </si>
  <si>
    <t xml:space="preserve">21:00</t>
  </si>
  <si>
    <t xml:space="preserve">21:15</t>
  </si>
  <si>
    <t xml:space="preserve">21:30</t>
  </si>
  <si>
    <t xml:space="preserve">21:45</t>
  </si>
  <si>
    <t xml:space="preserve">22:00</t>
  </si>
  <si>
    <t xml:space="preserve">22:15</t>
  </si>
  <si>
    <t xml:space="preserve">22:30</t>
  </si>
  <si>
    <t xml:space="preserve">22:45</t>
  </si>
  <si>
    <t xml:space="preserve">23:00</t>
  </si>
  <si>
    <t xml:space="preserve">23:15</t>
  </si>
  <si>
    <t xml:space="preserve">23:30</t>
  </si>
  <si>
    <t xml:space="preserve">23:45</t>
  </si>
  <si>
    <t xml:space="preserve">%</t>
  </si>
  <si>
    <t xml:space="preserve">秒</t>
  </si>
  <si>
    <r>
      <rPr>
        <sz val="9"/>
        <color rgb="FF203040"/>
        <rFont val="Arial"/>
        <family val="0"/>
        <charset val="1"/>
      </rPr>
      <t xml:space="preserve">CNY/</t>
    </r>
    <r>
      <rPr>
        <sz val="9"/>
        <color rgb="FF203040"/>
        <rFont val="WenQuanYi Zen Hei"/>
        <family val="2"/>
      </rPr>
      <t xml:space="preserve">工时</t>
    </r>
  </si>
  <si>
    <r>
      <rPr>
        <b val="true"/>
        <sz val="10.5"/>
        <color rgb="FF203040"/>
        <rFont val="WenQuanYi Zen Hei"/>
        <family val="2"/>
      </rPr>
      <t xml:space="preserve">连续告警窗口（连续 ≥</t>
    </r>
    <r>
      <rPr>
        <b val="true"/>
        <sz val="10.5"/>
        <color rgb="FF203040"/>
        <rFont val="Arial"/>
        <family val="0"/>
        <charset val="1"/>
      </rPr>
      <t xml:space="preserve">2 </t>
    </r>
    <r>
      <rPr>
        <b val="true"/>
        <sz val="10.5"/>
        <color rgb="FF203040"/>
        <rFont val="WenQuanYi Zen Hei"/>
        <family val="2"/>
      </rPr>
      <t xml:space="preserve">个 </t>
    </r>
    <r>
      <rPr>
        <b val="true"/>
        <sz val="10.5"/>
        <color rgb="FF203040"/>
        <rFont val="Arial"/>
        <family val="0"/>
        <charset val="1"/>
      </rPr>
      <t xml:space="preserve">15 </t>
    </r>
    <r>
      <rPr>
        <b val="true"/>
        <sz val="10.5"/>
        <color rgb="FF203040"/>
        <rFont val="WenQuanYi Zen Hei"/>
        <family val="2"/>
      </rPr>
      <t xml:space="preserve">分钟非绿）</t>
    </r>
  </si>
  <si>
    <t xml:space="preserve">从</t>
  </si>
  <si>
    <t xml:space="preserve">到</t>
  </si>
  <si>
    <t xml:space="preserve">连续格数</t>
  </si>
  <si>
    <t xml:space="preserve">均值</t>
  </si>
  <si>
    <t xml:space="preserve">最差</t>
  </si>
  <si>
    <t xml:space="preserve">含红灯</t>
  </si>
  <si>
    <t xml:space="preserve">→ 说明</t>
  </si>
  <si>
    <t xml:space="preserve">是</t>
  </si>
  <si>
    <t xml:space="preserve">连片告警，去「交叉矩阵」确认是某个渠道的结构问题还是整段的产能问题</t>
  </si>
  <si>
    <t xml:space="preserve">否</t>
  </si>
  <si>
    <r>
      <rPr>
        <i val="true"/>
        <sz val="8.5"/>
        <color rgb="FF6B7280"/>
        <rFont val="WenQuanYi Zen Hei"/>
        <family val="2"/>
      </rPr>
      <t xml:space="preserve">为什么用 </t>
    </r>
    <r>
      <rPr>
        <i val="true"/>
        <sz val="8.5"/>
        <color rgb="FF6B7280"/>
        <rFont val="Arial"/>
        <family val="0"/>
        <charset val="1"/>
      </rPr>
      <t xml:space="preserve">15 </t>
    </r>
    <r>
      <rPr>
        <i val="true"/>
        <sz val="8.5"/>
        <color rgb="FF6B7280"/>
        <rFont val="WenQuanYi Zen Hei"/>
        <family val="2"/>
      </rPr>
      <t xml:space="preserve">分钟而不是小时：排班和备货的最小调整单位就是 </t>
    </r>
    <r>
      <rPr>
        <i val="true"/>
        <sz val="8.5"/>
        <color rgb="FF6B7280"/>
        <rFont val="Arial"/>
        <family val="0"/>
        <charset val="1"/>
      </rPr>
      <t xml:space="preserve">15 </t>
    </r>
    <r>
      <rPr>
        <i val="true"/>
        <sz val="8.5"/>
        <color rgb="FF6B7280"/>
        <rFont val="WenQuanYi Zen Hei"/>
        <family val="2"/>
      </rPr>
      <t xml:space="preserve">分钟。按小时看，一个 </t>
    </r>
    <r>
      <rPr>
        <i val="true"/>
        <sz val="8.5"/>
        <color rgb="FF6B7280"/>
        <rFont val="Arial"/>
        <family val="0"/>
        <charset val="1"/>
      </rPr>
      <t xml:space="preserve">20 </t>
    </r>
    <r>
      <rPr>
        <i val="true"/>
        <sz val="8.5"/>
        <color rgb="FF6B7280"/>
        <rFont val="WenQuanYi Zen Hei"/>
        <family val="2"/>
      </rPr>
      <t xml:space="preserve">分钟的塌陷会被两边的好数据稀释掉，什么也看不见。</t>
    </r>
  </si>
  <si>
    <r>
      <rPr>
        <b val="true"/>
        <sz val="16"/>
        <color rgb="FFFFFFFF"/>
        <rFont val="WenQuanYi Zen Hei"/>
        <family val="2"/>
      </rPr>
      <t xml:space="preserve">交叉矩阵 </t>
    </r>
    <r>
      <rPr>
        <b val="true"/>
        <sz val="16"/>
        <color rgb="FFFFFFFF"/>
        <rFont val="Arial"/>
        <family val="0"/>
        <charset val="1"/>
      </rPr>
      <t xml:space="preserve">· Cross Matrix</t>
    </r>
    <r>
      <rPr>
        <b val="true"/>
        <sz val="16"/>
        <color rgb="FFFFFFFF"/>
        <rFont val="WenQuanYi Zen Hei"/>
        <family val="2"/>
      </rPr>
      <t xml:space="preserve">（时段 </t>
    </r>
    <r>
      <rPr>
        <b val="true"/>
        <sz val="16"/>
        <color rgb="FFFFFFFF"/>
        <rFont val="Arial"/>
        <family val="0"/>
        <charset val="1"/>
      </rPr>
      <t xml:space="preserve">× </t>
    </r>
    <r>
      <rPr>
        <b val="true"/>
        <sz val="16"/>
        <color rgb="FFFFFFFF"/>
        <rFont val="WenQuanYi Zen Hei"/>
        <family val="2"/>
      </rPr>
      <t xml:space="preserve">渠道）</t>
    </r>
  </si>
  <si>
    <r>
      <rPr>
        <sz val="9"/>
        <color rgb="FF7A1F1A"/>
        <rFont val="WenQuanYi Zen Hei"/>
        <family val="2"/>
      </rPr>
      <t xml:space="preserve">一张表同时读出两种问题：某一列全红 </t>
    </r>
    <r>
      <rPr>
        <sz val="9"/>
        <color rgb="FF7A1F1A"/>
        <rFont val="Arial"/>
        <family val="0"/>
        <charset val="1"/>
      </rPr>
      <t xml:space="preserve">= </t>
    </r>
    <r>
      <rPr>
        <sz val="9"/>
        <color rgb="FF7A1F1A"/>
        <rFont val="WenQuanYi Zen Hei"/>
        <family val="2"/>
      </rPr>
      <t xml:space="preserve">结构问题（那个渠道的流程本身有毛病，加人没用）；某一行全红 </t>
    </r>
    <r>
      <rPr>
        <sz val="9"/>
        <color rgb="FF7A1F1A"/>
        <rFont val="Arial"/>
        <family val="0"/>
        <charset val="1"/>
      </rPr>
      <t xml:space="preserve">= </t>
    </r>
    <r>
      <rPr>
        <sz val="9"/>
        <color rgb="FF7A1F1A"/>
        <rFont val="WenQuanYi Zen Hei"/>
        <family val="2"/>
      </rPr>
      <t xml:space="preserve">产能问题（那个时段人不够，排班能解决）。两种问题的动作、责任人、时间尺度都不一样。</t>
    </r>
  </si>
  <si>
    <r>
      <rPr>
        <b val="true"/>
        <sz val="10.5"/>
        <color rgb="FF203040"/>
        <rFont val="WenQuanYi Zen Hei"/>
        <family val="2"/>
      </rPr>
      <t xml:space="preserve">服务速度达标率（</t>
    </r>
    <r>
      <rPr>
        <b val="true"/>
        <sz val="10.5"/>
        <color rgb="FF203040"/>
        <rFont val="Arial"/>
        <family val="0"/>
        <charset val="1"/>
      </rPr>
      <t xml:space="preserve">%</t>
    </r>
    <r>
      <rPr>
        <b val="true"/>
        <sz val="10.5"/>
        <color rgb="FF203040"/>
        <rFont val="WenQuanYi Zen Hei"/>
        <family val="2"/>
      </rPr>
      <t xml:space="preserve">） </t>
    </r>
    <r>
      <rPr>
        <b val="true"/>
        <sz val="10.5"/>
        <color rgb="FF203040"/>
        <rFont val="Arial"/>
        <family val="0"/>
        <charset val="1"/>
      </rPr>
      <t xml:space="preserve">· </t>
    </r>
    <r>
      <rPr>
        <b val="true"/>
        <sz val="10.5"/>
        <color rgb="FF203040"/>
        <rFont val="WenQuanYi Zen Hei"/>
        <family val="2"/>
      </rPr>
      <t xml:space="preserve">时段 </t>
    </r>
    <r>
      <rPr>
        <b val="true"/>
        <sz val="10.5"/>
        <color rgb="FF203040"/>
        <rFont val="Arial"/>
        <family val="0"/>
        <charset val="1"/>
      </rPr>
      <t xml:space="preserve">× </t>
    </r>
    <r>
      <rPr>
        <b val="true"/>
        <sz val="10.5"/>
        <color rgb="FF203040"/>
        <rFont val="WenQuanYi Zen Hei"/>
        <family val="2"/>
      </rPr>
      <t xml:space="preserve">渠道</t>
    </r>
  </si>
  <si>
    <t xml:space="preserve">时段</t>
  </si>
  <si>
    <t xml:space="preserve">前台点餐</t>
  </si>
  <si>
    <t xml:space="preserve">自助点餐机</t>
  </si>
  <si>
    <t xml:space="preserve">得来速</t>
  </si>
  <si>
    <t xml:space="preserve">小程序自取</t>
  </si>
  <si>
    <t xml:space="preserve">外送</t>
  </si>
  <si>
    <r>
      <rPr>
        <b val="true"/>
        <sz val="9"/>
        <color rgb="FFFFFFFF"/>
        <rFont val="WenQuanYi Zen Hei"/>
        <family val="2"/>
      </rPr>
      <t xml:space="preserve">行合计</t>
    </r>
    <r>
      <rPr>
        <b val="true"/>
        <sz val="9"/>
        <color rgb="FFFFFFFF"/>
        <rFont val="Arial"/>
        <family val="0"/>
        <charset val="1"/>
      </rPr>
      <t xml:space="preserve">/</t>
    </r>
    <r>
      <rPr>
        <b val="true"/>
        <sz val="9"/>
        <color rgb="FFFFFFFF"/>
        <rFont val="WenQuanYi Zen Hei"/>
        <family val="2"/>
      </rPr>
      <t xml:space="preserve">均值</t>
    </r>
  </si>
  <si>
    <t xml:space="preserve">读法</t>
  </si>
  <si>
    <t xml:space="preserve">早餐</t>
  </si>
  <si>
    <t xml:space="preserve">午市</t>
  </si>
  <si>
    <t xml:space="preserve">下午茶</t>
  </si>
  <si>
    <t xml:space="preserve">晚市</t>
  </si>
  <si>
    <t xml:space="preserve">夜宵</t>
  </si>
  <si>
    <r>
      <rPr>
        <b val="true"/>
        <sz val="9"/>
        <color rgb="FF203040"/>
        <rFont val="WenQuanYi Zen Hei"/>
        <family val="2"/>
      </rPr>
      <t xml:space="preserve">列合计</t>
    </r>
    <r>
      <rPr>
        <b val="true"/>
        <sz val="9"/>
        <color rgb="FF203040"/>
        <rFont val="Arial"/>
        <family val="0"/>
        <charset val="1"/>
      </rPr>
      <t xml:space="preserve">/</t>
    </r>
    <r>
      <rPr>
        <b val="true"/>
        <sz val="9"/>
        <color rgb="FF203040"/>
        <rFont val="WenQuanYi Zen Hei"/>
        <family val="2"/>
      </rPr>
      <t xml:space="preserve">均值</t>
    </r>
  </si>
  <si>
    <r>
      <rPr>
        <b val="true"/>
        <sz val="9"/>
        <color rgb="FF203040"/>
        <rFont val="WenQuanYi Zen Hei"/>
        <family val="2"/>
      </rPr>
      <t xml:space="preserve">→ 最拖后腿的格子：晚市 </t>
    </r>
    <r>
      <rPr>
        <b val="true"/>
        <sz val="9"/>
        <color rgb="FF203040"/>
        <rFont val="Arial"/>
        <family val="0"/>
        <charset val="1"/>
      </rPr>
      <t xml:space="preserve">× </t>
    </r>
    <r>
      <rPr>
        <b val="true"/>
        <sz val="9"/>
        <color rgb="FF203040"/>
        <rFont val="WenQuanYi Zen Hei"/>
        <family val="2"/>
      </rPr>
      <t xml:space="preserve">外送（拖累度 </t>
    </r>
    <r>
      <rPr>
        <b val="true"/>
        <sz val="9"/>
        <color rgb="FF203040"/>
        <rFont val="Arial"/>
        <family val="0"/>
        <charset val="1"/>
      </rPr>
      <t xml:space="preserve">5.5</t>
    </r>
    <r>
      <rPr>
        <b val="true"/>
        <sz val="9"/>
        <color rgb="FF203040"/>
        <rFont val="WenQuanYi Zen Hei"/>
        <family val="2"/>
      </rPr>
      <t xml:space="preserve">）</t>
    </r>
  </si>
  <si>
    <r>
      <rPr>
        <b val="true"/>
        <sz val="10.5"/>
        <color rgb="FF203040"/>
        <rFont val="WenQuanYi Zen Hei"/>
        <family val="2"/>
      </rPr>
      <t xml:space="preserve">净销售额（</t>
    </r>
    <r>
      <rPr>
        <b val="true"/>
        <sz val="10.5"/>
        <color rgb="FF203040"/>
        <rFont val="Arial"/>
        <family val="0"/>
        <charset val="1"/>
      </rPr>
      <t xml:space="preserve">CNY</t>
    </r>
    <r>
      <rPr>
        <b val="true"/>
        <sz val="10.5"/>
        <color rgb="FF203040"/>
        <rFont val="WenQuanYi Zen Hei"/>
        <family val="2"/>
      </rPr>
      <t xml:space="preserve">） </t>
    </r>
    <r>
      <rPr>
        <b val="true"/>
        <sz val="10.5"/>
        <color rgb="FF203040"/>
        <rFont val="Arial"/>
        <family val="0"/>
        <charset val="1"/>
      </rPr>
      <t xml:space="preserve">· </t>
    </r>
    <r>
      <rPr>
        <b val="true"/>
        <sz val="10.5"/>
        <color rgb="FF203040"/>
        <rFont val="WenQuanYi Zen Hei"/>
        <family val="2"/>
      </rPr>
      <t xml:space="preserve">时段 </t>
    </r>
    <r>
      <rPr>
        <b val="true"/>
        <sz val="10.5"/>
        <color rgb="FF203040"/>
        <rFont val="Arial"/>
        <family val="0"/>
        <charset val="1"/>
      </rPr>
      <t xml:space="preserve">× </t>
    </r>
    <r>
      <rPr>
        <b val="true"/>
        <sz val="10.5"/>
        <color rgb="FF203040"/>
        <rFont val="WenQuanYi Zen Hei"/>
        <family val="2"/>
      </rPr>
      <t xml:space="preserve">渠道</t>
    </r>
  </si>
  <si>
    <r>
      <rPr>
        <b val="true"/>
        <sz val="9"/>
        <color rgb="FF203040"/>
        <rFont val="WenQuanYi Zen Hei"/>
        <family val="2"/>
      </rPr>
      <t xml:space="preserve">→ 最拖后腿的格子：午市 </t>
    </r>
    <r>
      <rPr>
        <b val="true"/>
        <sz val="9"/>
        <color rgb="FF203040"/>
        <rFont val="Arial"/>
        <family val="0"/>
        <charset val="1"/>
      </rPr>
      <t xml:space="preserve">× </t>
    </r>
    <r>
      <rPr>
        <b val="true"/>
        <sz val="9"/>
        <color rgb="FF203040"/>
        <rFont val="WenQuanYi Zen Hei"/>
        <family val="2"/>
      </rPr>
      <t xml:space="preserve">得来速（拖累度 </t>
    </r>
    <r>
      <rPr>
        <b val="true"/>
        <sz val="9"/>
        <color rgb="FF203040"/>
        <rFont val="Arial"/>
        <family val="0"/>
        <charset val="1"/>
      </rPr>
      <t xml:space="preserve">389.8</t>
    </r>
    <r>
      <rPr>
        <b val="true"/>
        <sz val="9"/>
        <color rgb="FF203040"/>
        <rFont val="WenQuanYi Zen Hei"/>
        <family val="2"/>
      </rPr>
      <t xml:space="preserve">）</t>
    </r>
  </si>
  <si>
    <r>
      <rPr>
        <i val="true"/>
        <sz val="8.5"/>
        <color rgb="FF6B7280"/>
        <rFont val="WenQuanYi Zen Hei"/>
        <family val="2"/>
      </rPr>
      <t xml:space="preserve">红黄绿的判定：率型指标直接对「目标与口径」的绿黄线；量型指标（净销售）改判「对该切片预测的达成率」——拿全店目标 </t>
    </r>
    <r>
      <rPr>
        <i val="true"/>
        <sz val="8.5"/>
        <color rgb="FF6B7280"/>
        <rFont val="Arial"/>
        <family val="0"/>
        <charset val="1"/>
      </rPr>
      <t xml:space="preserve">62,000 </t>
    </r>
    <r>
      <rPr>
        <i val="true"/>
        <sz val="8.5"/>
        <color rgb="FF6B7280"/>
        <rFont val="WenQuanYi Zen Hei"/>
        <family val="2"/>
      </rPr>
      <t xml:space="preserve">去判晚市的 </t>
    </r>
    <r>
      <rPr>
        <i val="true"/>
        <sz val="8.5"/>
        <color rgb="FF6B7280"/>
        <rFont val="Arial"/>
        <family val="0"/>
        <charset val="1"/>
      </rPr>
      <t xml:space="preserve">4,761 </t>
    </r>
    <r>
      <rPr>
        <i val="true"/>
        <sz val="8.5"/>
        <color rgb="FF6B7280"/>
        <rFont val="WenQuanYi Zen Hei"/>
        <family val="2"/>
      </rPr>
      <t xml:space="preserve">元，整张表会永远是红的，那就没有信息了。详见 </t>
    </r>
    <r>
      <rPr>
        <i val="true"/>
        <sz val="8.5"/>
        <color rgb="FF6B7280"/>
        <rFont val="Arial"/>
        <family val="0"/>
        <charset val="1"/>
      </rPr>
      <t xml:space="preserve">docs/03 </t>
    </r>
    <r>
      <rPr>
        <i val="true"/>
        <sz val="8.5"/>
        <color rgb="FF6B7280"/>
        <rFont val="WenQuanYi Zen Hei"/>
        <family val="2"/>
      </rPr>
      <t xml:space="preserve">第 </t>
    </r>
    <r>
      <rPr>
        <i val="true"/>
        <sz val="8.5"/>
        <color rgb="FF6B7280"/>
        <rFont val="Arial"/>
        <family val="0"/>
        <charset val="1"/>
      </rPr>
      <t xml:space="preserve">3.3 </t>
    </r>
    <r>
      <rPr>
        <i val="true"/>
        <sz val="8.5"/>
        <color rgb="FF6B7280"/>
        <rFont val="WenQuanYi Zen Hei"/>
        <family val="2"/>
      </rPr>
      <t xml:space="preserve">节。</t>
    </r>
  </si>
  <si>
    <r>
      <rPr>
        <b val="true"/>
        <sz val="16"/>
        <color rgb="FFFFFFFF"/>
        <rFont val="WenQuanYi Zen Hei"/>
        <family val="2"/>
      </rPr>
      <t xml:space="preserve">归因矩阵 </t>
    </r>
    <r>
      <rPr>
        <b val="true"/>
        <sz val="16"/>
        <color rgb="FFFFFFFF"/>
        <rFont val="Arial"/>
        <family val="0"/>
        <charset val="1"/>
      </rPr>
      <t xml:space="preserve">· Attribution Matrix</t>
    </r>
    <r>
      <rPr>
        <b val="true"/>
        <sz val="16"/>
        <color rgb="FFFFFFFF"/>
        <rFont val="WenQuanYi Zen Hei"/>
        <family val="2"/>
      </rPr>
      <t xml:space="preserve">（指标 </t>
    </r>
    <r>
      <rPr>
        <b val="true"/>
        <sz val="16"/>
        <color rgb="FFFFFFFF"/>
        <rFont val="Arial"/>
        <family val="0"/>
        <charset val="1"/>
      </rPr>
      <t xml:space="preserve">× </t>
    </r>
    <r>
      <rPr>
        <b val="true"/>
        <sz val="16"/>
        <color rgb="FFFFFFFF"/>
        <rFont val="WenQuanYi Zen Hei"/>
        <family val="2"/>
      </rPr>
      <t xml:space="preserve">维度）</t>
    </r>
  </si>
  <si>
    <r>
      <rPr>
        <sz val="9"/>
        <color rgb="FF7A1F1A"/>
        <rFont val="WenQuanYi Zen Hei"/>
        <family val="2"/>
      </rPr>
      <t xml:space="preserve">排序列是「拖累度」，不是指标值本身。外送废弃率再高，只占 </t>
    </r>
    <r>
      <rPr>
        <sz val="9"/>
        <color rgb="FF7A1F1A"/>
        <rFont val="Arial"/>
        <family val="0"/>
        <charset val="1"/>
      </rPr>
      <t xml:space="preserve">3% </t>
    </r>
    <r>
      <rPr>
        <sz val="9"/>
        <color rgb="FF7A1F1A"/>
        <rFont val="WenQuanYi Zen Hei"/>
        <family val="2"/>
      </rPr>
      <t xml:space="preserve">的量也不值得先动；堂食占 </t>
    </r>
    <r>
      <rPr>
        <sz val="9"/>
        <color rgb="FF7A1F1A"/>
        <rFont val="Arial"/>
        <family val="0"/>
        <charset val="1"/>
      </rPr>
      <t xml:space="preserve">70%</t>
    </r>
    <r>
      <rPr>
        <sz val="9"/>
        <color rgb="FF7A1F1A"/>
        <rFont val="WenQuanYi Zen Hei"/>
        <family val="2"/>
      </rPr>
      <t xml:space="preserve">，压 </t>
    </r>
    <r>
      <rPr>
        <sz val="9"/>
        <color rgb="FF7A1F1A"/>
        <rFont val="Arial"/>
        <family val="0"/>
        <charset val="1"/>
      </rPr>
      <t xml:space="preserve">0.2 </t>
    </r>
    <r>
      <rPr>
        <sz val="9"/>
        <color rgb="FF7A1F1A"/>
        <rFont val="WenQuanYi Zen Hei"/>
        <family val="2"/>
      </rPr>
      <t xml:space="preserve">个百分点就顶外送归零的两倍。</t>
    </r>
  </si>
  <si>
    <r>
      <rPr>
        <b val="true"/>
        <sz val="10.5"/>
        <color rgb="FF203040"/>
        <rFont val="WenQuanYi Zen Hei"/>
        <family val="2"/>
      </rPr>
      <t xml:space="preserve">外卖平台评分 </t>
    </r>
    <r>
      <rPr>
        <b val="true"/>
        <sz val="10.5"/>
        <color rgb="FF203040"/>
        <rFont val="Arial"/>
        <family val="0"/>
        <charset val="1"/>
      </rPr>
      <t xml:space="preserve">× </t>
    </r>
    <r>
      <rPr>
        <b val="true"/>
        <sz val="10.5"/>
        <color rgb="FF203040"/>
        <rFont val="WenQuanYi Zen Hei"/>
        <family val="2"/>
      </rPr>
      <t xml:space="preserve">外卖平台　（全店 </t>
    </r>
    <r>
      <rPr>
        <b val="true"/>
        <sz val="10.5"/>
        <color rgb="FF203040"/>
        <rFont val="Arial"/>
        <family val="0"/>
        <charset val="1"/>
      </rPr>
      <t xml:space="preserve">4.1</t>
    </r>
    <r>
      <rPr>
        <b val="true"/>
        <sz val="10.5"/>
        <color rgb="FF203040"/>
        <rFont val="WenQuanYi Zen Hei"/>
        <family val="2"/>
      </rPr>
      <t xml:space="preserve">，贡献度口径：偏差 </t>
    </r>
    <r>
      <rPr>
        <b val="true"/>
        <sz val="10.5"/>
        <color rgb="FF203040"/>
        <rFont val="Arial"/>
        <family val="0"/>
        <charset val="1"/>
      </rPr>
      <t xml:space="preserve">× </t>
    </r>
    <r>
      <rPr>
        <b val="true"/>
        <sz val="10.5"/>
        <color rgb="FF203040"/>
        <rFont val="WenQuanYi Zen Hei"/>
        <family val="2"/>
      </rPr>
      <t xml:space="preserve">销售权重）</t>
    </r>
  </si>
  <si>
    <t xml:space="preserve">外卖平台</t>
  </si>
  <si>
    <t xml:space="preserve">值</t>
  </si>
  <si>
    <t xml:space="preserve">量占比</t>
  </si>
  <si>
    <t xml:space="preserve">该格预算</t>
  </si>
  <si>
    <t xml:space="preserve">对目标</t>
  </si>
  <si>
    <t xml:space="preserve">拖累度</t>
  </si>
  <si>
    <t xml:space="preserve">累计占比</t>
  </si>
  <si>
    <t xml:space="preserve">Meituan</t>
  </si>
  <si>
    <t xml:space="preserve">Eleme</t>
  </si>
  <si>
    <t xml:space="preserve">McDeliveryApp</t>
  </si>
  <si>
    <r>
      <rPr>
        <b val="true"/>
        <sz val="9"/>
        <color rgb="FF203040"/>
        <rFont val="WenQuanYi Zen Hei"/>
        <family val="2"/>
      </rPr>
      <t xml:space="preserve">→ 先动 </t>
    </r>
    <r>
      <rPr>
        <b val="true"/>
        <sz val="9"/>
        <color rgb="FF203040"/>
        <rFont val="Arial"/>
        <family val="0"/>
        <charset val="1"/>
      </rPr>
      <t xml:space="preserve">Meituan</t>
    </r>
    <r>
      <rPr>
        <b val="true"/>
        <sz val="9"/>
        <color rgb="FF203040"/>
        <rFont val="WenQuanYi Zen Hei"/>
        <family val="2"/>
      </rPr>
      <t xml:space="preserve">：它占了拖累度的 </t>
    </r>
    <r>
      <rPr>
        <b val="true"/>
        <sz val="9"/>
        <color rgb="FF203040"/>
        <rFont val="Arial"/>
        <family val="0"/>
        <charset val="1"/>
      </rPr>
      <t xml:space="preserve">48%</t>
    </r>
    <r>
      <rPr>
        <b val="true"/>
        <sz val="9"/>
        <color rgb="FF203040"/>
        <rFont val="WenQuanYi Zen Hei"/>
        <family val="2"/>
      </rPr>
      <t xml:space="preserve">（量占比 </t>
    </r>
    <r>
      <rPr>
        <b val="true"/>
        <sz val="9"/>
        <color rgb="FF203040"/>
        <rFont val="Arial"/>
        <family val="0"/>
        <charset val="1"/>
      </rPr>
      <t xml:space="preserve">44%</t>
    </r>
    <r>
      <rPr>
        <b val="true"/>
        <sz val="9"/>
        <color rgb="FF203040"/>
        <rFont val="WenQuanYi Zen Hei"/>
        <family val="2"/>
      </rPr>
      <t xml:space="preserve">）</t>
    </r>
  </si>
  <si>
    <r>
      <rPr>
        <b val="true"/>
        <sz val="10.5"/>
        <color rgb="FF203040"/>
        <rFont val="WenQuanYi Zen Hei"/>
        <family val="2"/>
      </rPr>
      <t xml:space="preserve">外卖平台评分 </t>
    </r>
    <r>
      <rPr>
        <b val="true"/>
        <sz val="10.5"/>
        <color rgb="FF203040"/>
        <rFont val="Arial"/>
        <family val="0"/>
        <charset val="1"/>
      </rPr>
      <t xml:space="preserve">× </t>
    </r>
    <r>
      <rPr>
        <b val="true"/>
        <sz val="10.5"/>
        <color rgb="FF203040"/>
        <rFont val="WenQuanYi Zen Hei"/>
        <family val="2"/>
      </rPr>
      <t xml:space="preserve">时段　（全店 </t>
    </r>
    <r>
      <rPr>
        <b val="true"/>
        <sz val="10.5"/>
        <color rgb="FF203040"/>
        <rFont val="Arial"/>
        <family val="0"/>
        <charset val="1"/>
      </rPr>
      <t xml:space="preserve">4.1</t>
    </r>
    <r>
      <rPr>
        <b val="true"/>
        <sz val="10.5"/>
        <color rgb="FF203040"/>
        <rFont val="WenQuanYi Zen Hei"/>
        <family val="2"/>
      </rPr>
      <t xml:space="preserve">，贡献度口径：偏差 </t>
    </r>
    <r>
      <rPr>
        <b val="true"/>
        <sz val="10.5"/>
        <color rgb="FF203040"/>
        <rFont val="Arial"/>
        <family val="0"/>
        <charset val="1"/>
      </rPr>
      <t xml:space="preserve">× </t>
    </r>
    <r>
      <rPr>
        <b val="true"/>
        <sz val="10.5"/>
        <color rgb="FF203040"/>
        <rFont val="WenQuanYi Zen Hei"/>
        <family val="2"/>
      </rPr>
      <t xml:space="preserve">销售权重）</t>
    </r>
  </si>
  <si>
    <t xml:space="preserve">Dinner</t>
  </si>
  <si>
    <t xml:space="preserve">Lunch</t>
  </si>
  <si>
    <t xml:space="preserve">Afternoon</t>
  </si>
  <si>
    <t xml:space="preserve">Breakfast</t>
  </si>
  <si>
    <t xml:space="preserve">LateNight</t>
  </si>
  <si>
    <r>
      <rPr>
        <b val="true"/>
        <sz val="9"/>
        <color rgb="FF203040"/>
        <rFont val="WenQuanYi Zen Hei"/>
        <family val="2"/>
      </rPr>
      <t xml:space="preserve">→ 先动 </t>
    </r>
    <r>
      <rPr>
        <b val="true"/>
        <sz val="9"/>
        <color rgb="FF203040"/>
        <rFont val="Arial"/>
        <family val="0"/>
        <charset val="1"/>
      </rPr>
      <t xml:space="preserve">Dinner</t>
    </r>
    <r>
      <rPr>
        <b val="true"/>
        <sz val="9"/>
        <color rgb="FF203040"/>
        <rFont val="WenQuanYi Zen Hei"/>
        <family val="2"/>
      </rPr>
      <t xml:space="preserve">：它占了拖累度的 </t>
    </r>
    <r>
      <rPr>
        <b val="true"/>
        <sz val="9"/>
        <color rgb="FF203040"/>
        <rFont val="Arial"/>
        <family val="0"/>
        <charset val="1"/>
      </rPr>
      <t xml:space="preserve">47%</t>
    </r>
    <r>
      <rPr>
        <b val="true"/>
        <sz val="9"/>
        <color rgb="FF203040"/>
        <rFont val="WenQuanYi Zen Hei"/>
        <family val="2"/>
      </rPr>
      <t xml:space="preserve">（量占比 </t>
    </r>
    <r>
      <rPr>
        <b val="true"/>
        <sz val="9"/>
        <color rgb="FF203040"/>
        <rFont val="Arial"/>
        <family val="0"/>
        <charset val="1"/>
      </rPr>
      <t xml:space="preserve">29%</t>
    </r>
    <r>
      <rPr>
        <b val="true"/>
        <sz val="9"/>
        <color rgb="FF203040"/>
        <rFont val="WenQuanYi Zen Hei"/>
        <family val="2"/>
      </rPr>
      <t xml:space="preserve">）</t>
    </r>
  </si>
  <si>
    <r>
      <rPr>
        <b val="true"/>
        <sz val="10.5"/>
        <color rgb="FF203040"/>
        <rFont val="WenQuanYi Zen Hei"/>
        <family val="2"/>
      </rPr>
      <t xml:space="preserve">服务速度达标率 </t>
    </r>
    <r>
      <rPr>
        <b val="true"/>
        <sz val="10.5"/>
        <color rgb="FF203040"/>
        <rFont val="Arial"/>
        <family val="0"/>
        <charset val="1"/>
      </rPr>
      <t xml:space="preserve">× </t>
    </r>
    <r>
      <rPr>
        <b val="true"/>
        <sz val="10.5"/>
        <color rgb="FF203040"/>
        <rFont val="WenQuanYi Zen Hei"/>
        <family val="2"/>
      </rPr>
      <t xml:space="preserve">时段　（全店 </t>
    </r>
    <r>
      <rPr>
        <b val="true"/>
        <sz val="10.5"/>
        <color rgb="FF203040"/>
        <rFont val="Arial"/>
        <family val="0"/>
        <charset val="1"/>
      </rPr>
      <t xml:space="preserve">76.6%</t>
    </r>
    <r>
      <rPr>
        <b val="true"/>
        <sz val="10.5"/>
        <color rgb="FF203040"/>
        <rFont val="WenQuanYi Zen Hei"/>
        <family val="2"/>
      </rPr>
      <t xml:space="preserve">，贡献度口径：偏差 </t>
    </r>
    <r>
      <rPr>
        <b val="true"/>
        <sz val="10.5"/>
        <color rgb="FF203040"/>
        <rFont val="Arial"/>
        <family val="0"/>
        <charset val="1"/>
      </rPr>
      <t xml:space="preserve">× </t>
    </r>
    <r>
      <rPr>
        <b val="true"/>
        <sz val="10.5"/>
        <color rgb="FF203040"/>
        <rFont val="WenQuanYi Zen Hei"/>
        <family val="2"/>
      </rPr>
      <t xml:space="preserve">销售权重）</t>
    </r>
  </si>
  <si>
    <r>
      <rPr>
        <b val="true"/>
        <sz val="9"/>
        <color rgb="FF203040"/>
        <rFont val="WenQuanYi Zen Hei"/>
        <family val="2"/>
      </rPr>
      <t xml:space="preserve">→ 先动 </t>
    </r>
    <r>
      <rPr>
        <b val="true"/>
        <sz val="9"/>
        <color rgb="FF203040"/>
        <rFont val="Arial"/>
        <family val="0"/>
        <charset val="1"/>
      </rPr>
      <t xml:space="preserve">Dinner</t>
    </r>
    <r>
      <rPr>
        <b val="true"/>
        <sz val="9"/>
        <color rgb="FF203040"/>
        <rFont val="WenQuanYi Zen Hei"/>
        <family val="2"/>
      </rPr>
      <t xml:space="preserve">：它占了拖累度的 </t>
    </r>
    <r>
      <rPr>
        <b val="true"/>
        <sz val="9"/>
        <color rgb="FF203040"/>
        <rFont val="Arial"/>
        <family val="0"/>
        <charset val="1"/>
      </rPr>
      <t xml:space="preserve">70%</t>
    </r>
    <r>
      <rPr>
        <b val="true"/>
        <sz val="9"/>
        <color rgb="FF203040"/>
        <rFont val="WenQuanYi Zen Hei"/>
        <family val="2"/>
      </rPr>
      <t xml:space="preserve">（量占比 </t>
    </r>
    <r>
      <rPr>
        <b val="true"/>
        <sz val="9"/>
        <color rgb="FF203040"/>
        <rFont val="Arial"/>
        <family val="0"/>
        <charset val="1"/>
      </rPr>
      <t xml:space="preserve">29%</t>
    </r>
    <r>
      <rPr>
        <b val="true"/>
        <sz val="9"/>
        <color rgb="FF203040"/>
        <rFont val="WenQuanYi Zen Hei"/>
        <family val="2"/>
      </rPr>
      <t xml:space="preserve">）</t>
    </r>
  </si>
  <si>
    <r>
      <rPr>
        <b val="true"/>
        <sz val="10.5"/>
        <color rgb="FF203040"/>
        <rFont val="WenQuanYi Zen Hei"/>
        <family val="2"/>
      </rPr>
      <t xml:space="preserve">服务速度达标率 </t>
    </r>
    <r>
      <rPr>
        <b val="true"/>
        <sz val="10.5"/>
        <color rgb="FF203040"/>
        <rFont val="Arial"/>
        <family val="0"/>
        <charset val="1"/>
      </rPr>
      <t xml:space="preserve">× </t>
    </r>
    <r>
      <rPr>
        <b val="true"/>
        <sz val="10.5"/>
        <color rgb="FF203040"/>
        <rFont val="WenQuanYi Zen Hei"/>
        <family val="2"/>
      </rPr>
      <t xml:space="preserve">渠道　（全店 </t>
    </r>
    <r>
      <rPr>
        <b val="true"/>
        <sz val="10.5"/>
        <color rgb="FF203040"/>
        <rFont val="Arial"/>
        <family val="0"/>
        <charset val="1"/>
      </rPr>
      <t xml:space="preserve">76.6%</t>
    </r>
    <r>
      <rPr>
        <b val="true"/>
        <sz val="10.5"/>
        <color rgb="FF203040"/>
        <rFont val="WenQuanYi Zen Hei"/>
        <family val="2"/>
      </rPr>
      <t xml:space="preserve">，贡献度口径：偏差 </t>
    </r>
    <r>
      <rPr>
        <b val="true"/>
        <sz val="10.5"/>
        <color rgb="FF203040"/>
        <rFont val="Arial"/>
        <family val="0"/>
        <charset val="1"/>
      </rPr>
      <t xml:space="preserve">× </t>
    </r>
    <r>
      <rPr>
        <b val="true"/>
        <sz val="10.5"/>
        <color rgb="FF203040"/>
        <rFont val="WenQuanYi Zen Hei"/>
        <family val="2"/>
      </rPr>
      <t xml:space="preserve">销售权重）</t>
    </r>
  </si>
  <si>
    <t xml:space="preserve">渠道</t>
  </si>
  <si>
    <t xml:space="preserve">Delivery</t>
  </si>
  <si>
    <t xml:space="preserve">DriveThru</t>
  </si>
  <si>
    <t xml:space="preserve">FrontCounter</t>
  </si>
  <si>
    <t xml:space="preserve">MobileApp</t>
  </si>
  <si>
    <t xml:space="preserve">Kiosk</t>
  </si>
  <si>
    <r>
      <rPr>
        <b val="true"/>
        <sz val="9"/>
        <color rgb="FF203040"/>
        <rFont val="WenQuanYi Zen Hei"/>
        <family val="2"/>
      </rPr>
      <t xml:space="preserve">→ 先动 </t>
    </r>
    <r>
      <rPr>
        <b val="true"/>
        <sz val="9"/>
        <color rgb="FF203040"/>
        <rFont val="Arial"/>
        <family val="0"/>
        <charset val="1"/>
      </rPr>
      <t xml:space="preserve">Delivery</t>
    </r>
    <r>
      <rPr>
        <b val="true"/>
        <sz val="9"/>
        <color rgb="FF203040"/>
        <rFont val="WenQuanYi Zen Hei"/>
        <family val="2"/>
      </rPr>
      <t xml:space="preserve">：它占了拖累度的 </t>
    </r>
    <r>
      <rPr>
        <b val="true"/>
        <sz val="9"/>
        <color rgb="FF203040"/>
        <rFont val="Arial"/>
        <family val="0"/>
        <charset val="1"/>
      </rPr>
      <t xml:space="preserve">63%</t>
    </r>
    <r>
      <rPr>
        <b val="true"/>
        <sz val="9"/>
        <color rgb="FF203040"/>
        <rFont val="WenQuanYi Zen Hei"/>
        <family val="2"/>
      </rPr>
      <t xml:space="preserve">（量占比 </t>
    </r>
    <r>
      <rPr>
        <b val="true"/>
        <sz val="9"/>
        <color rgb="FF203040"/>
        <rFont val="Arial"/>
        <family val="0"/>
        <charset val="1"/>
      </rPr>
      <t xml:space="preserve">27%</t>
    </r>
    <r>
      <rPr>
        <b val="true"/>
        <sz val="9"/>
        <color rgb="FF203040"/>
        <rFont val="WenQuanYi Zen Hei"/>
        <family val="2"/>
      </rPr>
      <t xml:space="preserve">）</t>
    </r>
  </si>
  <si>
    <r>
      <rPr>
        <b val="true"/>
        <sz val="10.5"/>
        <color rgb="FF203040"/>
        <rFont val="WenQuanYi Zen Hei"/>
        <family val="2"/>
      </rPr>
      <t xml:space="preserve">迟到率 </t>
    </r>
    <r>
      <rPr>
        <b val="true"/>
        <sz val="10.5"/>
        <color rgb="FF203040"/>
        <rFont val="Arial"/>
        <family val="0"/>
        <charset val="1"/>
      </rPr>
      <t xml:space="preserve">× </t>
    </r>
    <r>
      <rPr>
        <b val="true"/>
        <sz val="10.5"/>
        <color rgb="FF203040"/>
        <rFont val="WenQuanYi Zen Hei"/>
        <family val="2"/>
      </rPr>
      <t xml:space="preserve">时段　（全店 </t>
    </r>
    <r>
      <rPr>
        <b val="true"/>
        <sz val="10.5"/>
        <color rgb="FF203040"/>
        <rFont val="Arial"/>
        <family val="0"/>
        <charset val="1"/>
      </rPr>
      <t xml:space="preserve">10.5%</t>
    </r>
    <r>
      <rPr>
        <b val="true"/>
        <sz val="10.5"/>
        <color rgb="FF203040"/>
        <rFont val="WenQuanYi Zen Hei"/>
        <family val="2"/>
      </rPr>
      <t xml:space="preserve">，贡献度口径：无数据）</t>
    </r>
  </si>
  <si>
    <r>
      <rPr>
        <b val="true"/>
        <sz val="9"/>
        <color rgb="FF203040"/>
        <rFont val="WenQuanYi Zen Hei"/>
        <family val="2"/>
      </rPr>
      <t xml:space="preserve">→ 先动 </t>
    </r>
    <r>
      <rPr>
        <b val="true"/>
        <sz val="9"/>
        <color rgb="FF203040"/>
        <rFont val="Arial"/>
        <family val="0"/>
        <charset val="1"/>
      </rPr>
      <t xml:space="preserve">Breakfast</t>
    </r>
    <r>
      <rPr>
        <b val="true"/>
        <sz val="9"/>
        <color rgb="FF203040"/>
        <rFont val="WenQuanYi Zen Hei"/>
        <family val="2"/>
      </rPr>
      <t xml:space="preserve">：它占了拖累度的 </t>
    </r>
    <r>
      <rPr>
        <b val="true"/>
        <sz val="9"/>
        <color rgb="FF203040"/>
        <rFont val="Arial"/>
        <family val="0"/>
        <charset val="1"/>
      </rPr>
      <t xml:space="preserve">48%</t>
    </r>
    <r>
      <rPr>
        <b val="true"/>
        <sz val="9"/>
        <color rgb="FF203040"/>
        <rFont val="WenQuanYi Zen Hei"/>
        <family val="2"/>
      </rPr>
      <t xml:space="preserve">（量占比 </t>
    </r>
    <r>
      <rPr>
        <b val="true"/>
        <sz val="9"/>
        <color rgb="FF203040"/>
        <rFont val="Arial"/>
        <family val="0"/>
        <charset val="1"/>
      </rPr>
      <t xml:space="preserve">13%</t>
    </r>
    <r>
      <rPr>
        <b val="true"/>
        <sz val="9"/>
        <color rgb="FF203040"/>
        <rFont val="WenQuanYi Zen Hei"/>
        <family val="2"/>
      </rPr>
      <t xml:space="preserve">）</t>
    </r>
  </si>
  <si>
    <r>
      <rPr>
        <b val="true"/>
        <sz val="10.5"/>
        <color rgb="FF203040"/>
        <rFont val="WenQuanYi Zen Hei"/>
        <family val="2"/>
      </rPr>
      <t xml:space="preserve">迟到率 </t>
    </r>
    <r>
      <rPr>
        <b val="true"/>
        <sz val="10.5"/>
        <color rgb="FF203040"/>
        <rFont val="Arial"/>
        <family val="0"/>
        <charset val="1"/>
      </rPr>
      <t xml:space="preserve">× </t>
    </r>
    <r>
      <rPr>
        <b val="true"/>
        <sz val="10.5"/>
        <color rgb="FF203040"/>
        <rFont val="WenQuanYi Zen Hei"/>
        <family val="2"/>
      </rPr>
      <t xml:space="preserve">岗位　（全店 </t>
    </r>
    <r>
      <rPr>
        <b val="true"/>
        <sz val="10.5"/>
        <color rgb="FF203040"/>
        <rFont val="Arial"/>
        <family val="0"/>
        <charset val="1"/>
      </rPr>
      <t xml:space="preserve">10.5%</t>
    </r>
    <r>
      <rPr>
        <b val="true"/>
        <sz val="10.5"/>
        <color rgb="FF203040"/>
        <rFont val="WenQuanYi Zen Hei"/>
        <family val="2"/>
      </rPr>
      <t xml:space="preserve">，贡献度口径：偏差 </t>
    </r>
    <r>
      <rPr>
        <b val="true"/>
        <sz val="10.5"/>
        <color rgb="FF203040"/>
        <rFont val="Arial"/>
        <family val="0"/>
        <charset val="1"/>
      </rPr>
      <t xml:space="preserve">× </t>
    </r>
    <r>
      <rPr>
        <b val="true"/>
        <sz val="10.5"/>
        <color rgb="FF203040"/>
        <rFont val="WenQuanYi Zen Hei"/>
        <family val="2"/>
      </rPr>
      <t xml:space="preserve">销售权重）</t>
    </r>
  </si>
  <si>
    <t xml:space="preserve">岗位</t>
  </si>
  <si>
    <t xml:space="preserve">Kitchen_Grill</t>
  </si>
  <si>
    <t xml:space="preserve">Kitchen_Fry</t>
  </si>
  <si>
    <t xml:space="preserve">Beverage</t>
  </si>
  <si>
    <t xml:space="preserve">DriveThru_Order</t>
  </si>
  <si>
    <t xml:space="preserve">DriveThru_Window</t>
  </si>
  <si>
    <t xml:space="preserve">Lobby</t>
  </si>
  <si>
    <t xml:space="preserve">Delivery_Pack</t>
  </si>
  <si>
    <t xml:space="preserve">Assembly</t>
  </si>
  <si>
    <r>
      <rPr>
        <b val="true"/>
        <sz val="9"/>
        <color rgb="FF203040"/>
        <rFont val="WenQuanYi Zen Hei"/>
        <family val="2"/>
      </rPr>
      <t xml:space="preserve">→ 先动 </t>
    </r>
    <r>
      <rPr>
        <b val="true"/>
        <sz val="9"/>
        <color rgb="FF203040"/>
        <rFont val="Arial"/>
        <family val="0"/>
        <charset val="1"/>
      </rPr>
      <t xml:space="preserve">Kitchen_Grill</t>
    </r>
    <r>
      <rPr>
        <b val="true"/>
        <sz val="9"/>
        <color rgb="FF203040"/>
        <rFont val="WenQuanYi Zen Hei"/>
        <family val="2"/>
      </rPr>
      <t xml:space="preserve">：它占了拖累度的 </t>
    </r>
    <r>
      <rPr>
        <b val="true"/>
        <sz val="9"/>
        <color rgb="FF203040"/>
        <rFont val="Arial"/>
        <family val="0"/>
        <charset val="1"/>
      </rPr>
      <t xml:space="preserve">0%</t>
    </r>
    <r>
      <rPr>
        <b val="true"/>
        <sz val="9"/>
        <color rgb="FF203040"/>
        <rFont val="WenQuanYi Zen Hei"/>
        <family val="2"/>
      </rPr>
      <t xml:space="preserve">（量占比 </t>
    </r>
    <r>
      <rPr>
        <b val="true"/>
        <sz val="9"/>
        <color rgb="FF203040"/>
        <rFont val="Arial"/>
        <family val="0"/>
        <charset val="1"/>
      </rPr>
      <t xml:space="preserve">0%</t>
    </r>
    <r>
      <rPr>
        <b val="true"/>
        <sz val="9"/>
        <color rgb="FF203040"/>
        <rFont val="WenQuanYi Zen Hei"/>
        <family val="2"/>
      </rPr>
      <t xml:space="preserve">）</t>
    </r>
  </si>
  <si>
    <r>
      <rPr>
        <b val="true"/>
        <sz val="10.5"/>
        <color rgb="FF203040"/>
        <rFont val="WenQuanYi Zen Hei"/>
        <family val="2"/>
      </rPr>
      <t xml:space="preserve">设备停机时长 </t>
    </r>
    <r>
      <rPr>
        <b val="true"/>
        <sz val="10.5"/>
        <color rgb="FF203040"/>
        <rFont val="Arial"/>
        <family val="0"/>
        <charset val="1"/>
      </rPr>
      <t xml:space="preserve">× </t>
    </r>
    <r>
      <rPr>
        <b val="true"/>
        <sz val="10.5"/>
        <color rgb="FF203040"/>
        <rFont val="WenQuanYi Zen Hei"/>
        <family val="2"/>
      </rPr>
      <t xml:space="preserve">设备　（全店 </t>
    </r>
    <r>
      <rPr>
        <b val="true"/>
        <sz val="10.5"/>
        <color rgb="FF203040"/>
        <rFont val="Arial"/>
        <family val="0"/>
        <charset val="1"/>
      </rPr>
      <t xml:space="preserve">76</t>
    </r>
    <r>
      <rPr>
        <b val="true"/>
        <sz val="10.5"/>
        <color rgb="FF203040"/>
        <rFont val="WenQuanYi Zen Hei"/>
        <family val="2"/>
      </rPr>
      <t xml:space="preserve">，贡献度口径：绝对量）</t>
    </r>
  </si>
  <si>
    <t xml:space="preserve">设备</t>
  </si>
  <si>
    <t xml:space="preserve">FRYER-2</t>
  </si>
  <si>
    <t xml:space="preserve">UHC-1</t>
  </si>
  <si>
    <t xml:space="preserve">WALKIN-C</t>
  </si>
  <si>
    <t xml:space="preserve">WALKIN-F</t>
  </si>
  <si>
    <r>
      <rPr>
        <b val="true"/>
        <sz val="9"/>
        <color rgb="FF203040"/>
        <rFont val="WenQuanYi Zen Hei"/>
        <family val="2"/>
      </rPr>
      <t xml:space="preserve">→ 先动 </t>
    </r>
    <r>
      <rPr>
        <b val="true"/>
        <sz val="9"/>
        <color rgb="FF203040"/>
        <rFont val="Arial"/>
        <family val="0"/>
        <charset val="1"/>
      </rPr>
      <t xml:space="preserve">FRYER-2</t>
    </r>
    <r>
      <rPr>
        <b val="true"/>
        <sz val="9"/>
        <color rgb="FF203040"/>
        <rFont val="WenQuanYi Zen Hei"/>
        <family val="2"/>
      </rPr>
      <t xml:space="preserve">：它占了拖累度的 </t>
    </r>
    <r>
      <rPr>
        <b val="true"/>
        <sz val="9"/>
        <color rgb="FF203040"/>
        <rFont val="Arial"/>
        <family val="0"/>
        <charset val="1"/>
      </rPr>
      <t xml:space="preserve">100%</t>
    </r>
    <r>
      <rPr>
        <b val="true"/>
        <sz val="9"/>
        <color rgb="FF203040"/>
        <rFont val="WenQuanYi Zen Hei"/>
        <family val="2"/>
      </rPr>
      <t xml:space="preserve">（量占比 </t>
    </r>
    <r>
      <rPr>
        <b val="true"/>
        <sz val="9"/>
        <color rgb="FF203040"/>
        <rFont val="Arial"/>
        <family val="0"/>
        <charset val="1"/>
      </rPr>
      <t xml:space="preserve">0%</t>
    </r>
    <r>
      <rPr>
        <b val="true"/>
        <sz val="9"/>
        <color rgb="FF203040"/>
        <rFont val="WenQuanYi Zen Hei"/>
        <family val="2"/>
      </rPr>
      <t xml:space="preserve">）</t>
    </r>
  </si>
  <si>
    <r>
      <rPr>
        <b val="true"/>
        <sz val="10.5"/>
        <color rgb="FF203040"/>
        <rFont val="WenQuanYi Zen Hei"/>
        <family val="2"/>
      </rPr>
      <t xml:space="preserve">工时排班偏差 </t>
    </r>
    <r>
      <rPr>
        <b val="true"/>
        <sz val="10.5"/>
        <color rgb="FF203040"/>
        <rFont val="Arial"/>
        <family val="0"/>
        <charset val="1"/>
      </rPr>
      <t xml:space="preserve">× </t>
    </r>
    <r>
      <rPr>
        <b val="true"/>
        <sz val="10.5"/>
        <color rgb="FF203040"/>
        <rFont val="WenQuanYi Zen Hei"/>
        <family val="2"/>
      </rPr>
      <t xml:space="preserve">时段　（全店 </t>
    </r>
    <r>
      <rPr>
        <b val="true"/>
        <sz val="10.5"/>
        <color rgb="FF203040"/>
        <rFont val="Arial"/>
        <family val="0"/>
        <charset val="1"/>
      </rPr>
      <t xml:space="preserve">5.1%</t>
    </r>
    <r>
      <rPr>
        <b val="true"/>
        <sz val="10.5"/>
        <color rgb="FF203040"/>
        <rFont val="WenQuanYi Zen Hei"/>
        <family val="2"/>
      </rPr>
      <t xml:space="preserve">，贡献度口径：偏差 </t>
    </r>
    <r>
      <rPr>
        <b val="true"/>
        <sz val="10.5"/>
        <color rgb="FF203040"/>
        <rFont val="Arial"/>
        <family val="0"/>
        <charset val="1"/>
      </rPr>
      <t xml:space="preserve">× </t>
    </r>
    <r>
      <rPr>
        <b val="true"/>
        <sz val="10.5"/>
        <color rgb="FF203040"/>
        <rFont val="WenQuanYi Zen Hei"/>
        <family val="2"/>
      </rPr>
      <t xml:space="preserve">销售权重）</t>
    </r>
  </si>
  <si>
    <r>
      <rPr>
        <b val="true"/>
        <sz val="9"/>
        <color rgb="FF203040"/>
        <rFont val="WenQuanYi Zen Hei"/>
        <family val="2"/>
      </rPr>
      <t xml:space="preserve">→ 先动 </t>
    </r>
    <r>
      <rPr>
        <b val="true"/>
        <sz val="9"/>
        <color rgb="FF203040"/>
        <rFont val="Arial"/>
        <family val="0"/>
        <charset val="1"/>
      </rPr>
      <t xml:space="preserve">Dinner</t>
    </r>
    <r>
      <rPr>
        <b val="true"/>
        <sz val="9"/>
        <color rgb="FF203040"/>
        <rFont val="WenQuanYi Zen Hei"/>
        <family val="2"/>
      </rPr>
      <t xml:space="preserve">：它占了拖累度的 </t>
    </r>
    <r>
      <rPr>
        <b val="true"/>
        <sz val="9"/>
        <color rgb="FF203040"/>
        <rFont val="Arial"/>
        <family val="0"/>
        <charset val="1"/>
      </rPr>
      <t xml:space="preserve">90%</t>
    </r>
    <r>
      <rPr>
        <b val="true"/>
        <sz val="9"/>
        <color rgb="FF203040"/>
        <rFont val="WenQuanYi Zen Hei"/>
        <family val="2"/>
      </rPr>
      <t xml:space="preserve">（量占比 </t>
    </r>
    <r>
      <rPr>
        <b val="true"/>
        <sz val="9"/>
        <color rgb="FF203040"/>
        <rFont val="Arial"/>
        <family val="0"/>
        <charset val="1"/>
      </rPr>
      <t xml:space="preserve">29%</t>
    </r>
    <r>
      <rPr>
        <b val="true"/>
        <sz val="9"/>
        <color rgb="FF203040"/>
        <rFont val="WenQuanYi Zen Hei"/>
        <family val="2"/>
      </rPr>
      <t xml:space="preserve">）</t>
    </r>
  </si>
  <si>
    <r>
      <rPr>
        <b val="true"/>
        <sz val="10.5"/>
        <color rgb="FF203040"/>
        <rFont val="WenQuanYi Zen Hei"/>
        <family val="2"/>
      </rPr>
      <t xml:space="preserve">工时排班偏差 </t>
    </r>
    <r>
      <rPr>
        <b val="true"/>
        <sz val="10.5"/>
        <color rgb="FF203040"/>
        <rFont val="Arial"/>
        <family val="0"/>
        <charset val="1"/>
      </rPr>
      <t xml:space="preserve">× </t>
    </r>
    <r>
      <rPr>
        <b val="true"/>
        <sz val="10.5"/>
        <color rgb="FF203040"/>
        <rFont val="WenQuanYi Zen Hei"/>
        <family val="2"/>
      </rPr>
      <t xml:space="preserve">岗位　（全店 </t>
    </r>
    <r>
      <rPr>
        <b val="true"/>
        <sz val="10.5"/>
        <color rgb="FF203040"/>
        <rFont val="Arial"/>
        <family val="0"/>
        <charset val="1"/>
      </rPr>
      <t xml:space="preserve">5.1%</t>
    </r>
    <r>
      <rPr>
        <b val="true"/>
        <sz val="10.5"/>
        <color rgb="FF203040"/>
        <rFont val="WenQuanYi Zen Hei"/>
        <family val="2"/>
      </rPr>
      <t xml:space="preserve">，贡献度口径：偏差 </t>
    </r>
    <r>
      <rPr>
        <b val="true"/>
        <sz val="10.5"/>
        <color rgb="FF203040"/>
        <rFont val="Arial"/>
        <family val="0"/>
        <charset val="1"/>
      </rPr>
      <t xml:space="preserve">× </t>
    </r>
    <r>
      <rPr>
        <b val="true"/>
        <sz val="10.5"/>
        <color rgb="FF203040"/>
        <rFont val="WenQuanYi Zen Hei"/>
        <family val="2"/>
      </rPr>
      <t xml:space="preserve">销售权重）</t>
    </r>
  </si>
  <si>
    <r>
      <rPr>
        <b val="true"/>
        <sz val="10.5"/>
        <color rgb="FF203040"/>
        <rFont val="WenQuanYi Zen Hei"/>
        <family val="2"/>
      </rPr>
      <t xml:space="preserve">附加销售率 </t>
    </r>
    <r>
      <rPr>
        <b val="true"/>
        <sz val="10.5"/>
        <color rgb="FF203040"/>
        <rFont val="Arial"/>
        <family val="0"/>
        <charset val="1"/>
      </rPr>
      <t xml:space="preserve">× </t>
    </r>
    <r>
      <rPr>
        <b val="true"/>
        <sz val="10.5"/>
        <color rgb="FF203040"/>
        <rFont val="WenQuanYi Zen Hei"/>
        <family val="2"/>
      </rPr>
      <t xml:space="preserve">时段　（全店 </t>
    </r>
    <r>
      <rPr>
        <b val="true"/>
        <sz val="10.5"/>
        <color rgb="FF203040"/>
        <rFont val="Arial"/>
        <family val="0"/>
        <charset val="1"/>
      </rPr>
      <t xml:space="preserve">24.5%</t>
    </r>
    <r>
      <rPr>
        <b val="true"/>
        <sz val="10.5"/>
        <color rgb="FF203040"/>
        <rFont val="WenQuanYi Zen Hei"/>
        <family val="2"/>
      </rPr>
      <t xml:space="preserve">，贡献度口径：偏差 </t>
    </r>
    <r>
      <rPr>
        <b val="true"/>
        <sz val="10.5"/>
        <color rgb="FF203040"/>
        <rFont val="Arial"/>
        <family val="0"/>
        <charset val="1"/>
      </rPr>
      <t xml:space="preserve">× </t>
    </r>
    <r>
      <rPr>
        <b val="true"/>
        <sz val="10.5"/>
        <color rgb="FF203040"/>
        <rFont val="WenQuanYi Zen Hei"/>
        <family val="2"/>
      </rPr>
      <t xml:space="preserve">销售权重）</t>
    </r>
  </si>
  <si>
    <r>
      <rPr>
        <b val="true"/>
        <sz val="9"/>
        <color rgb="FF203040"/>
        <rFont val="WenQuanYi Zen Hei"/>
        <family val="2"/>
      </rPr>
      <t xml:space="preserve">→ 先动 </t>
    </r>
    <r>
      <rPr>
        <b val="true"/>
        <sz val="9"/>
        <color rgb="FF203040"/>
        <rFont val="Arial"/>
        <family val="0"/>
        <charset val="1"/>
      </rPr>
      <t xml:space="preserve">Dinner</t>
    </r>
    <r>
      <rPr>
        <b val="true"/>
        <sz val="9"/>
        <color rgb="FF203040"/>
        <rFont val="WenQuanYi Zen Hei"/>
        <family val="2"/>
      </rPr>
      <t xml:space="preserve">：它占了拖累度的 </t>
    </r>
    <r>
      <rPr>
        <b val="true"/>
        <sz val="9"/>
        <color rgb="FF203040"/>
        <rFont val="Arial"/>
        <family val="0"/>
        <charset val="1"/>
      </rPr>
      <t xml:space="preserve">48%</t>
    </r>
    <r>
      <rPr>
        <b val="true"/>
        <sz val="9"/>
        <color rgb="FF203040"/>
        <rFont val="WenQuanYi Zen Hei"/>
        <family val="2"/>
      </rPr>
      <t xml:space="preserve">（量占比 </t>
    </r>
    <r>
      <rPr>
        <b val="true"/>
        <sz val="9"/>
        <color rgb="FF203040"/>
        <rFont val="Arial"/>
        <family val="0"/>
        <charset val="1"/>
      </rPr>
      <t xml:space="preserve">29%</t>
    </r>
    <r>
      <rPr>
        <b val="true"/>
        <sz val="9"/>
        <color rgb="FF203040"/>
        <rFont val="WenQuanYi Zen Hei"/>
        <family val="2"/>
      </rPr>
      <t xml:space="preserve">）</t>
    </r>
  </si>
  <si>
    <r>
      <rPr>
        <b val="true"/>
        <sz val="10.5"/>
        <color rgb="FF203040"/>
        <rFont val="WenQuanYi Zen Hei"/>
        <family val="2"/>
      </rPr>
      <t xml:space="preserve">附加销售率 </t>
    </r>
    <r>
      <rPr>
        <b val="true"/>
        <sz val="10.5"/>
        <color rgb="FF203040"/>
        <rFont val="Arial"/>
        <family val="0"/>
        <charset val="1"/>
      </rPr>
      <t xml:space="preserve">× </t>
    </r>
    <r>
      <rPr>
        <b val="true"/>
        <sz val="10.5"/>
        <color rgb="FF203040"/>
        <rFont val="WenQuanYi Zen Hei"/>
        <family val="2"/>
      </rPr>
      <t xml:space="preserve">渠道　（全店 </t>
    </r>
    <r>
      <rPr>
        <b val="true"/>
        <sz val="10.5"/>
        <color rgb="FF203040"/>
        <rFont val="Arial"/>
        <family val="0"/>
        <charset val="1"/>
      </rPr>
      <t xml:space="preserve">24.5%</t>
    </r>
    <r>
      <rPr>
        <b val="true"/>
        <sz val="10.5"/>
        <color rgb="FF203040"/>
        <rFont val="WenQuanYi Zen Hei"/>
        <family val="2"/>
      </rPr>
      <t xml:space="preserve">，贡献度口径：无数据）</t>
    </r>
  </si>
  <si>
    <r>
      <rPr>
        <b val="true"/>
        <sz val="9"/>
        <color rgb="FF203040"/>
        <rFont val="WenQuanYi Zen Hei"/>
        <family val="2"/>
      </rPr>
      <t xml:space="preserve">→ 先动 </t>
    </r>
    <r>
      <rPr>
        <b val="true"/>
        <sz val="9"/>
        <color rgb="FF203040"/>
        <rFont val="Arial"/>
        <family val="0"/>
        <charset val="1"/>
      </rPr>
      <t xml:space="preserve">DriveThru</t>
    </r>
    <r>
      <rPr>
        <b val="true"/>
        <sz val="9"/>
        <color rgb="FF203040"/>
        <rFont val="WenQuanYi Zen Hei"/>
        <family val="2"/>
      </rPr>
      <t xml:space="preserve">：它占了拖累度的 </t>
    </r>
    <r>
      <rPr>
        <b val="true"/>
        <sz val="9"/>
        <color rgb="FF203040"/>
        <rFont val="Arial"/>
        <family val="0"/>
        <charset val="1"/>
      </rPr>
      <t xml:space="preserve">79%</t>
    </r>
    <r>
      <rPr>
        <b val="true"/>
        <sz val="9"/>
        <color rgb="FF203040"/>
        <rFont val="WenQuanYi Zen Hei"/>
        <family val="2"/>
      </rPr>
      <t xml:space="preserve">（量占比 </t>
    </r>
    <r>
      <rPr>
        <b val="true"/>
        <sz val="9"/>
        <color rgb="FF203040"/>
        <rFont val="Arial"/>
        <family val="0"/>
        <charset val="1"/>
      </rPr>
      <t xml:space="preserve">22%</t>
    </r>
    <r>
      <rPr>
        <b val="true"/>
        <sz val="9"/>
        <color rgb="FF203040"/>
        <rFont val="WenQuanYi Zen Hei"/>
        <family val="2"/>
      </rPr>
      <t xml:space="preserve">）</t>
    </r>
  </si>
  <si>
    <r>
      <rPr>
        <i val="true"/>
        <sz val="8.5"/>
        <color rgb="FF6B7280"/>
        <rFont val="WenQuanYi Zen Hei"/>
        <family val="2"/>
      </rPr>
      <t xml:space="preserve">「该格预算」</t>
    </r>
    <r>
      <rPr>
        <i val="true"/>
        <sz val="8.5"/>
        <color rgb="FF6B7280"/>
        <rFont val="Arial"/>
        <family val="0"/>
        <charset val="1"/>
      </rPr>
      <t xml:space="preserve">= </t>
    </r>
    <r>
      <rPr>
        <i val="true"/>
        <sz val="8.5"/>
        <color rgb="FF6B7280"/>
        <rFont val="WenQuanYi Zen Hei"/>
        <family val="2"/>
      </rPr>
      <t xml:space="preserve">全店目标 </t>
    </r>
    <r>
      <rPr>
        <i val="true"/>
        <sz val="8.5"/>
        <color rgb="FF6B7280"/>
        <rFont val="Arial"/>
        <family val="0"/>
        <charset val="1"/>
      </rPr>
      <t xml:space="preserve">× </t>
    </r>
    <r>
      <rPr>
        <i val="true"/>
        <sz val="8.5"/>
        <color rgb="FF6B7280"/>
        <rFont val="WenQuanYi Zen Hei"/>
        <family val="2"/>
      </rPr>
      <t xml:space="preserve">该格量占比，只对全店分母口径的指标（废弃率、食品成本率、千单投诉数）成立：全店废弃率目标 </t>
    </r>
    <r>
      <rPr>
        <i val="true"/>
        <sz val="8.5"/>
        <color rgb="FF6B7280"/>
        <rFont val="Arial"/>
        <family val="0"/>
        <charset val="1"/>
      </rPr>
      <t xml:space="preserve">0.8%</t>
    </r>
    <r>
      <rPr>
        <i val="true"/>
        <sz val="8.5"/>
        <color rgb="FF6B7280"/>
        <rFont val="WenQuanYi Zen Hei"/>
        <family val="2"/>
      </rPr>
      <t xml:space="preserve">、午市占 </t>
    </r>
    <r>
      <rPr>
        <i val="true"/>
        <sz val="8.5"/>
        <color rgb="FF6B7280"/>
        <rFont val="Arial"/>
        <family val="0"/>
        <charset val="1"/>
      </rPr>
      <t xml:space="preserve">34% </t>
    </r>
    <r>
      <rPr>
        <i val="true"/>
        <sz val="8.5"/>
        <color rgb="FF6B7280"/>
        <rFont val="WenQuanYi Zen Hei"/>
        <family val="2"/>
      </rPr>
      <t xml:space="preserve">的销售，午市的预算就是 </t>
    </r>
    <r>
      <rPr>
        <i val="true"/>
        <sz val="8.5"/>
        <color rgb="FF6B7280"/>
        <rFont val="Arial"/>
        <family val="0"/>
        <charset val="1"/>
      </rPr>
      <t xml:space="preserve">0.27 </t>
    </r>
    <r>
      <rPr>
        <i val="true"/>
        <sz val="8.5"/>
        <color rgb="FF6B7280"/>
        <rFont val="WenQuanYi Zen Hei"/>
        <family val="2"/>
      </rPr>
      <t xml:space="preserve">个百分点。各格预算加起来正好等于全店目标，所以这样判色是自洽的。切片分母口径的指标（速度、人工率、客单价）目标与切片大小无关，直接用全店目标。</t>
    </r>
  </si>
  <si>
    <r>
      <rPr>
        <b val="true"/>
        <sz val="16"/>
        <color rgb="FFFFFFFF"/>
        <rFont val="WenQuanYi Zen Hei"/>
        <family val="2"/>
      </rPr>
      <t xml:space="preserve">报表清单 </t>
    </r>
    <r>
      <rPr>
        <b val="true"/>
        <sz val="16"/>
        <color rgb="FFFFFFFF"/>
        <rFont val="Arial"/>
        <family val="0"/>
        <charset val="1"/>
      </rPr>
      <t xml:space="preserve">· Manager Report Package</t>
    </r>
  </si>
  <si>
    <r>
      <rPr>
        <sz val="9"/>
        <color rgb="FF7A1F1A"/>
        <rFont val="WenQuanYi Zen Hei"/>
        <family val="2"/>
      </rPr>
      <t xml:space="preserve">一张报表如果回答不了「看完要做什么」，它就不该出现在这个清单里。所以最后一栏是动作，不是描述。全天合计不超过 </t>
    </r>
    <r>
      <rPr>
        <sz val="9"/>
        <color rgb="FF7A1F1A"/>
        <rFont val="Arial"/>
        <family val="0"/>
        <charset val="1"/>
      </rPr>
      <t xml:space="preserve">75 </t>
    </r>
    <r>
      <rPr>
        <sz val="9"/>
        <color rgb="FF7A1F1A"/>
        <rFont val="WenQuanYi Zen Hei"/>
        <family val="2"/>
      </rPr>
      <t xml:space="preserve">分钟——超过这个数，报表就开始和营运抢时间了。</t>
    </r>
  </si>
  <si>
    <r>
      <rPr>
        <b val="true"/>
        <sz val="10.5"/>
        <color rgb="FF203040"/>
        <rFont val="Arial"/>
        <family val="0"/>
        <charset val="1"/>
      </rPr>
      <t xml:space="preserve">A. </t>
    </r>
    <r>
      <rPr>
        <b val="true"/>
        <sz val="10.5"/>
        <color rgb="FF203040"/>
        <rFont val="WenQuanYi Zen Hei"/>
        <family val="2"/>
      </rPr>
      <t xml:space="preserve">每日报表（按一天的时间轴）</t>
    </r>
  </si>
  <si>
    <t xml:space="preserve">编号</t>
  </si>
  <si>
    <t xml:space="preserve">报表</t>
  </si>
  <si>
    <t xml:space="preserve">什么时候</t>
  </si>
  <si>
    <t xml:space="preserve">分钟</t>
  </si>
  <si>
    <t xml:space="preserve">谁看</t>
  </si>
  <si>
    <t xml:space="preserve">回答什么问题</t>
  </si>
  <si>
    <t xml:space="preserve">关键指标</t>
  </si>
  <si>
    <t xml:space="preserve">数据来源表</t>
  </si>
  <si>
    <t xml:space="preserve">看完做什么</t>
  </si>
  <si>
    <t xml:space="preserve">R01</t>
  </si>
  <si>
    <r>
      <rPr>
        <b val="true"/>
        <sz val="9"/>
        <color rgb="FF203040"/>
        <rFont val="WenQuanYi Zen Hei"/>
        <family val="2"/>
      </rPr>
      <t xml:space="preserve">昨日日结一页纸 </t>
    </r>
    <r>
      <rPr>
        <b val="true"/>
        <sz val="9"/>
        <color rgb="FF203040"/>
        <rFont val="Arial"/>
        <family val="0"/>
        <charset val="1"/>
      </rPr>
      <t xml:space="preserve">(DSR)</t>
    </r>
  </si>
  <si>
    <r>
      <rPr>
        <sz val="9"/>
        <color rgb="FF203040"/>
        <rFont val="Arial"/>
        <family val="0"/>
        <charset val="1"/>
      </rPr>
      <t xml:space="preserve">07:00 </t>
    </r>
    <r>
      <rPr>
        <sz val="9"/>
        <color rgb="FF203040"/>
        <rFont val="WenQuanYi Zen Hei"/>
        <family val="2"/>
      </rPr>
      <t xml:space="preserve">开店前</t>
    </r>
  </si>
  <si>
    <t xml:space="preserve">店长</t>
  </si>
  <si>
    <t xml:space="preserve">昨天到底做成什么样？有没有需要今天补的窟窿？</t>
  </si>
  <si>
    <r>
      <rPr>
        <sz val="9"/>
        <color rgb="FF203040"/>
        <rFont val="WenQuanYi Zen Hei"/>
        <family val="2"/>
      </rPr>
      <t xml:space="preserve">净销售额、销售达成率、交易笔数 </t>
    </r>
    <r>
      <rPr>
        <sz val="9"/>
        <color rgb="FF203040"/>
        <rFont val="Arial"/>
        <family val="0"/>
        <charset val="1"/>
      </rPr>
      <t xml:space="preserve">(GC)</t>
    </r>
    <r>
      <rPr>
        <sz val="9"/>
        <color rgb="FF203040"/>
        <rFont val="WenQuanYi Zen Hei"/>
        <family val="2"/>
      </rPr>
      <t xml:space="preserve">、客单价 </t>
    </r>
    <r>
      <rPr>
        <sz val="9"/>
        <color rgb="FF203040"/>
        <rFont val="Arial"/>
        <family val="0"/>
        <charset val="1"/>
      </rPr>
      <t xml:space="preserve">(TC)</t>
    </r>
    <r>
      <rPr>
        <sz val="9"/>
        <color rgb="FF203040"/>
        <rFont val="WenQuanYi Zen Hei"/>
        <family val="2"/>
      </rPr>
      <t xml:space="preserve">、食品成本率、人工成本率、现金短溢</t>
    </r>
  </si>
  <si>
    <r>
      <rPr>
        <sz val="9"/>
        <color rgb="FF203040"/>
        <rFont val="Arial"/>
        <family val="0"/>
        <charset val="1"/>
      </rPr>
      <t xml:space="preserve">fct_daily_sales_summary</t>
    </r>
    <r>
      <rPr>
        <sz val="9"/>
        <color rgb="FF203040"/>
        <rFont val="WenQuanYi Zen Hei"/>
        <family val="2"/>
      </rPr>
      <t xml:space="preserve">、</t>
    </r>
    <r>
      <rPr>
        <sz val="9"/>
        <color rgb="FF203040"/>
        <rFont val="Arial"/>
        <family val="0"/>
        <charset val="1"/>
      </rPr>
      <t xml:space="preserve">agg_food_cost_day</t>
    </r>
    <r>
      <rPr>
        <sz val="9"/>
        <color rgb="FF203040"/>
        <rFont val="WenQuanYi Zen Hei"/>
        <family val="2"/>
      </rPr>
      <t xml:space="preserve">、</t>
    </r>
    <r>
      <rPr>
        <sz val="9"/>
        <color rgb="FF203040"/>
        <rFont val="Arial"/>
        <family val="0"/>
        <charset val="1"/>
      </rPr>
      <t xml:space="preserve">agg_labor_day</t>
    </r>
    <r>
      <rPr>
        <sz val="9"/>
        <color rgb="FF203040"/>
        <rFont val="WenQuanYi Zen Hei"/>
        <family val="2"/>
      </rPr>
      <t xml:space="preserve">、</t>
    </r>
    <r>
      <rPr>
        <sz val="9"/>
        <color rgb="FF203040"/>
        <rFont val="Arial"/>
        <family val="0"/>
        <charset val="1"/>
      </rPr>
      <t xml:space="preserve">fct_cash_declaration</t>
    </r>
  </si>
  <si>
    <t xml:space="preserve">只有一个动作：把偏差最大的那一项，写进今天班前会的第一句话。</t>
  </si>
  <si>
    <t xml:space="preserve">R02</t>
  </si>
  <si>
    <r>
      <rPr>
        <b val="true"/>
        <sz val="9"/>
        <color rgb="FF203040"/>
        <rFont val="WenQuanYi Zen Hei"/>
        <family val="2"/>
      </rPr>
      <t xml:space="preserve">今日销售预测 </t>
    </r>
    <r>
      <rPr>
        <b val="true"/>
        <sz val="9"/>
        <color rgb="FF203040"/>
        <rFont val="Arial"/>
        <family val="0"/>
        <charset val="1"/>
      </rPr>
      <t xml:space="preserve">× </t>
    </r>
    <r>
      <rPr>
        <b val="true"/>
        <sz val="9"/>
        <color rgb="FF203040"/>
        <rFont val="WenQuanYi Zen Hei"/>
        <family val="2"/>
      </rPr>
      <t xml:space="preserve">排班对照表</t>
    </r>
  </si>
  <si>
    <t xml:space="preserve">07:10</t>
  </si>
  <si>
    <r>
      <rPr>
        <sz val="9"/>
        <color rgb="FF203040"/>
        <rFont val="WenQuanYi Zen Hei"/>
        <family val="2"/>
      </rPr>
      <t xml:space="preserve">今天的人，够不够撑住今天的生意？缺口在哪个 </t>
    </r>
    <r>
      <rPr>
        <sz val="9"/>
        <color rgb="FF203040"/>
        <rFont val="Arial"/>
        <family val="0"/>
        <charset val="1"/>
      </rPr>
      <t xml:space="preserve">15 </t>
    </r>
    <r>
      <rPr>
        <sz val="9"/>
        <color rgb="FF203040"/>
        <rFont val="WenQuanYi Zen Hei"/>
        <family val="2"/>
      </rPr>
      <t xml:space="preserve">分钟？</t>
    </r>
  </si>
  <si>
    <r>
      <rPr>
        <sz val="9"/>
        <color rgb="FF203040"/>
        <rFont val="WenQuanYi Zen Hei"/>
        <family val="2"/>
      </rPr>
      <t xml:space="preserve">销售达成率、工时排班偏差、人时销售 </t>
    </r>
    <r>
      <rPr>
        <sz val="9"/>
        <color rgb="FF203040"/>
        <rFont val="Arial"/>
        <family val="0"/>
        <charset val="1"/>
      </rPr>
      <t xml:space="preserve">(SPLH)</t>
    </r>
    <r>
      <rPr>
        <sz val="9"/>
        <color rgb="FF203040"/>
        <rFont val="WenQuanYi Zen Hei"/>
        <family val="2"/>
      </rPr>
      <t xml:space="preserve">、出勤达成率</t>
    </r>
  </si>
  <si>
    <r>
      <rPr>
        <sz val="9"/>
        <color rgb="FF203040"/>
        <rFont val="Arial"/>
        <family val="0"/>
        <charset val="1"/>
      </rPr>
      <t xml:space="preserve">dim_sales_forecast</t>
    </r>
    <r>
      <rPr>
        <sz val="9"/>
        <color rgb="FF203040"/>
        <rFont val="WenQuanYi Zen Hei"/>
        <family val="2"/>
      </rPr>
      <t xml:space="preserve">、</t>
    </r>
    <r>
      <rPr>
        <sz val="9"/>
        <color rgb="FF203040"/>
        <rFont val="Arial"/>
        <family val="0"/>
        <charset val="1"/>
      </rPr>
      <t xml:space="preserve">fct_schedule</t>
    </r>
    <r>
      <rPr>
        <sz val="9"/>
        <color rgb="FF203040"/>
        <rFont val="WenQuanYi Zen Hei"/>
        <family val="2"/>
      </rPr>
      <t xml:space="preserve">、</t>
    </r>
    <r>
      <rPr>
        <sz val="9"/>
        <color rgb="FF203040"/>
        <rFont val="Arial"/>
        <family val="0"/>
        <charset val="1"/>
      </rPr>
      <t xml:space="preserve">fct_timecard</t>
    </r>
  </si>
  <si>
    <r>
      <rPr>
        <sz val="9"/>
        <color rgb="FF203040"/>
        <rFont val="WenQuanYi Zen Hei"/>
        <family val="2"/>
      </rPr>
      <t xml:space="preserve">高峰前 </t>
    </r>
    <r>
      <rPr>
        <sz val="9"/>
        <color rgb="FF203040"/>
        <rFont val="Arial"/>
        <family val="0"/>
        <charset val="1"/>
      </rPr>
      <t xml:space="preserve">30 </t>
    </r>
    <r>
      <rPr>
        <sz val="9"/>
        <color rgb="FF203040"/>
        <rFont val="WenQuanYi Zen Hei"/>
        <family val="2"/>
      </rPr>
      <t xml:space="preserve">分钟人力缺口 </t>
    </r>
    <r>
      <rPr>
        <sz val="9"/>
        <color rgb="FF203040"/>
        <rFont val="Arial"/>
        <family val="0"/>
        <charset val="1"/>
      </rPr>
      <t xml:space="preserve">&gt; 1 </t>
    </r>
    <r>
      <rPr>
        <sz val="9"/>
        <color rgb="FF203040"/>
        <rFont val="WenQuanYi Zen Hei"/>
        <family val="2"/>
      </rPr>
      <t xml:space="preserve">人 → 现在就打电话调班，不要等到高峰再救。</t>
    </r>
  </si>
  <si>
    <t xml:space="preserve">R03</t>
  </si>
  <si>
    <t xml:space="preserve">开店食安与设备检查表</t>
  </si>
  <si>
    <r>
      <rPr>
        <sz val="9"/>
        <color rgb="FF203040"/>
        <rFont val="Arial"/>
        <family val="0"/>
        <charset val="1"/>
      </rPr>
      <t xml:space="preserve">07:20 </t>
    </r>
    <r>
      <rPr>
        <sz val="9"/>
        <color rgb="FF203040"/>
        <rFont val="WenQuanYi Zen Hei"/>
        <family val="2"/>
      </rPr>
      <t xml:space="preserve">开店前</t>
    </r>
  </si>
  <si>
    <t xml:space="preserve">值班经理</t>
  </si>
  <si>
    <t xml:space="preserve">今天能不能安全地开门？</t>
  </si>
  <si>
    <t xml:space="preserve">食安日检得分、关键温度点异常数、设备停机时长</t>
  </si>
  <si>
    <r>
      <rPr>
        <sz val="9"/>
        <color rgb="FF203040"/>
        <rFont val="Arial"/>
        <family val="0"/>
        <charset val="1"/>
      </rPr>
      <t xml:space="preserve">fct_food_safety_check</t>
    </r>
    <r>
      <rPr>
        <sz val="9"/>
        <color rgb="FF203040"/>
        <rFont val="WenQuanYi Zen Hei"/>
        <family val="2"/>
      </rPr>
      <t xml:space="preserve">、</t>
    </r>
    <r>
      <rPr>
        <sz val="9"/>
        <color rgb="FF203040"/>
        <rFont val="Arial"/>
        <family val="0"/>
        <charset val="1"/>
      </rPr>
      <t xml:space="preserve">fct_temperature_log</t>
    </r>
    <r>
      <rPr>
        <sz val="9"/>
        <color rgb="FF203040"/>
        <rFont val="WenQuanYi Zen Hei"/>
        <family val="2"/>
      </rPr>
      <t xml:space="preserve">、</t>
    </r>
    <r>
      <rPr>
        <sz val="9"/>
        <color rgb="FF203040"/>
        <rFont val="Arial"/>
        <family val="0"/>
        <charset val="1"/>
      </rPr>
      <t xml:space="preserve">fct_equipment_ticket</t>
    </r>
    <r>
      <rPr>
        <sz val="9"/>
        <color rgb="FF203040"/>
        <rFont val="WenQuanYi Zen Hei"/>
        <family val="2"/>
      </rPr>
      <t xml:space="preserve">、</t>
    </r>
    <r>
      <rPr>
        <sz val="9"/>
        <color rgb="FF203040"/>
        <rFont val="Arial"/>
        <family val="0"/>
        <charset val="1"/>
      </rPr>
      <t xml:space="preserve">dim_equipment</t>
    </r>
  </si>
  <si>
    <r>
      <rPr>
        <sz val="9"/>
        <color rgb="FF203040"/>
        <rFont val="WenQuanYi Zen Hei"/>
        <family val="2"/>
      </rPr>
      <t xml:space="preserve">关键项任意一项 </t>
    </r>
    <r>
      <rPr>
        <sz val="9"/>
        <color rgb="FF203040"/>
        <rFont val="Arial"/>
        <family val="0"/>
        <charset val="1"/>
      </rPr>
      <t xml:space="preserve">fail = </t>
    </r>
    <r>
      <rPr>
        <sz val="9"/>
        <color rgb="FF203040"/>
        <rFont val="WenQuanYi Zen Hei"/>
        <family val="2"/>
      </rPr>
      <t xml:space="preserve">停止该产品出品并立即整改。这张表没有</t>
    </r>
    <r>
      <rPr>
        <sz val="9"/>
        <color rgb="FF203040"/>
        <rFont val="Arial"/>
        <family val="0"/>
        <charset val="1"/>
      </rPr>
      <t xml:space="preserve">'</t>
    </r>
    <r>
      <rPr>
        <sz val="9"/>
        <color rgb="FF203040"/>
        <rFont val="WenQuanYi Zen Hei"/>
        <family val="2"/>
      </rPr>
      <t xml:space="preserve">先记着</t>
    </r>
    <r>
      <rPr>
        <sz val="9"/>
        <color rgb="FF203040"/>
        <rFont val="Arial"/>
        <family val="0"/>
        <charset val="1"/>
      </rPr>
      <t xml:space="preserve">'</t>
    </r>
    <r>
      <rPr>
        <sz val="9"/>
        <color rgb="FF203040"/>
        <rFont val="WenQuanYi Zen Hei"/>
        <family val="2"/>
      </rPr>
      <t xml:space="preserve">这个选项。</t>
    </r>
  </si>
  <si>
    <t xml:space="preserve">R04</t>
  </si>
  <si>
    <t xml:space="preserve">库存盘点与订货建议</t>
  </si>
  <si>
    <t xml:space="preserve">07:40</t>
  </si>
  <si>
    <t xml:space="preserve">今天会不会断货？会不会又订多了明天扔掉？</t>
  </si>
  <si>
    <t xml:space="preserve">食品成本率、废弃率</t>
  </si>
  <si>
    <r>
      <rPr>
        <sz val="9"/>
        <color rgb="FF203040"/>
        <rFont val="Arial"/>
        <family val="0"/>
        <charset val="1"/>
      </rPr>
      <t xml:space="preserve">fct_inventory_count</t>
    </r>
    <r>
      <rPr>
        <sz val="9"/>
        <color rgb="FF203040"/>
        <rFont val="WenQuanYi Zen Hei"/>
        <family val="2"/>
      </rPr>
      <t xml:space="preserve">、</t>
    </r>
    <r>
      <rPr>
        <sz val="9"/>
        <color rgb="FF203040"/>
        <rFont val="Arial"/>
        <family val="0"/>
        <charset val="1"/>
      </rPr>
      <t xml:space="preserve">dim_sales_forecast</t>
    </r>
    <r>
      <rPr>
        <sz val="9"/>
        <color rgb="FF203040"/>
        <rFont val="WenQuanYi Zen Hei"/>
        <family val="2"/>
      </rPr>
      <t xml:space="preserve">、</t>
    </r>
    <r>
      <rPr>
        <sz val="9"/>
        <color rgb="FF203040"/>
        <rFont val="Arial"/>
        <family val="0"/>
        <charset val="1"/>
      </rPr>
      <t xml:space="preserve">fct_goods_receipt</t>
    </r>
    <r>
      <rPr>
        <sz val="9"/>
        <color rgb="FF203040"/>
        <rFont val="WenQuanYi Zen Hei"/>
        <family val="2"/>
      </rPr>
      <t xml:space="preserve">、</t>
    </r>
    <r>
      <rPr>
        <sz val="9"/>
        <color rgb="FF203040"/>
        <rFont val="Arial"/>
        <family val="0"/>
        <charset val="1"/>
      </rPr>
      <t xml:space="preserve">dim_item</t>
    </r>
  </si>
  <si>
    <r>
      <rPr>
        <sz val="9"/>
        <color rgb="FF203040"/>
        <rFont val="WenQuanYi Zen Hei"/>
        <family val="2"/>
      </rPr>
      <t xml:space="preserve">关键品缺口 → 调整备货计划；连续三天盘点差异同向 → 查配方</t>
    </r>
    <r>
      <rPr>
        <sz val="9"/>
        <color rgb="FF203040"/>
        <rFont val="Arial"/>
        <family val="0"/>
        <charset val="1"/>
      </rPr>
      <t xml:space="preserve">/</t>
    </r>
    <r>
      <rPr>
        <sz val="9"/>
        <color rgb="FF203040"/>
        <rFont val="WenQuanYi Zen Hei"/>
        <family val="2"/>
      </rPr>
      <t xml:space="preserve">打料</t>
    </r>
    <r>
      <rPr>
        <sz val="9"/>
        <color rgb="FF203040"/>
        <rFont val="Arial"/>
        <family val="0"/>
        <charset val="1"/>
      </rPr>
      <t xml:space="preserve">/</t>
    </r>
    <r>
      <rPr>
        <sz val="9"/>
        <color rgb="FF203040"/>
        <rFont val="WenQuanYi Zen Hei"/>
        <family val="2"/>
      </rPr>
      <t xml:space="preserve">收货。</t>
    </r>
  </si>
  <si>
    <t xml:space="preserve">R05</t>
  </si>
  <si>
    <r>
      <rPr>
        <b val="true"/>
        <sz val="9"/>
        <color rgb="FF203040"/>
        <rFont val="WenQuanYi Zen Hei"/>
        <family val="2"/>
      </rPr>
      <t xml:space="preserve">实时销售 </t>
    </r>
    <r>
      <rPr>
        <b val="true"/>
        <sz val="9"/>
        <color rgb="FF203040"/>
        <rFont val="Arial"/>
        <family val="0"/>
        <charset val="1"/>
      </rPr>
      <t xml:space="preserve">vs </t>
    </r>
    <r>
      <rPr>
        <b val="true"/>
        <sz val="9"/>
        <color rgb="FF203040"/>
        <rFont val="WenQuanYi Zen Hei"/>
        <family val="2"/>
      </rPr>
      <t xml:space="preserve">预测（日内滚动）</t>
    </r>
  </si>
  <si>
    <r>
      <rPr>
        <sz val="9"/>
        <color rgb="FF203040"/>
        <rFont val="WenQuanYi Zen Hei"/>
        <family val="2"/>
      </rPr>
      <t xml:space="preserve">每小时 </t>
    </r>
    <r>
      <rPr>
        <sz val="9"/>
        <color rgb="FF203040"/>
        <rFont val="Arial"/>
        <family val="0"/>
        <charset val="1"/>
      </rPr>
      <t xml:space="preserve">+ </t>
    </r>
    <r>
      <rPr>
        <sz val="9"/>
        <color rgb="FF203040"/>
        <rFont val="WenQuanYi Zen Hei"/>
        <family val="2"/>
      </rPr>
      <t xml:space="preserve">高峰前</t>
    </r>
  </si>
  <si>
    <t xml:space="preserve">今天走在预算线上吗？差在哪个渠道？</t>
  </si>
  <si>
    <r>
      <rPr>
        <sz val="9"/>
        <color rgb="FF203040"/>
        <rFont val="WenQuanYi Zen Hei"/>
        <family val="2"/>
      </rPr>
      <t xml:space="preserve">净销售额、销售达成率、交易笔数 </t>
    </r>
    <r>
      <rPr>
        <sz val="9"/>
        <color rgb="FF203040"/>
        <rFont val="Arial"/>
        <family val="0"/>
        <charset val="1"/>
      </rPr>
      <t xml:space="preserve">(GC)</t>
    </r>
    <r>
      <rPr>
        <sz val="9"/>
        <color rgb="FF203040"/>
        <rFont val="WenQuanYi Zen Hei"/>
        <family val="2"/>
      </rPr>
      <t xml:space="preserve">、客单价 </t>
    </r>
    <r>
      <rPr>
        <sz val="9"/>
        <color rgb="FF203040"/>
        <rFont val="Arial"/>
        <family val="0"/>
        <charset val="1"/>
      </rPr>
      <t xml:space="preserve">(TC)</t>
    </r>
    <r>
      <rPr>
        <sz val="9"/>
        <color rgb="FF203040"/>
        <rFont val="WenQuanYi Zen Hei"/>
        <family val="2"/>
      </rPr>
      <t xml:space="preserve">、单均件数、外送销售占比</t>
    </r>
  </si>
  <si>
    <r>
      <rPr>
        <sz val="9"/>
        <color rgb="FF203040"/>
        <rFont val="Arial"/>
        <family val="0"/>
        <charset val="1"/>
      </rPr>
      <t xml:space="preserve">fct_pos_transaction</t>
    </r>
    <r>
      <rPr>
        <sz val="9"/>
        <color rgb="FF203040"/>
        <rFont val="WenQuanYi Zen Hei"/>
        <family val="2"/>
      </rPr>
      <t xml:space="preserve">、</t>
    </r>
    <r>
      <rPr>
        <sz val="9"/>
        <color rgb="FF203040"/>
        <rFont val="Arial"/>
        <family val="0"/>
        <charset val="1"/>
      </rPr>
      <t xml:space="preserve">dim_sales_forecast</t>
    </r>
  </si>
  <si>
    <r>
      <rPr>
        <sz val="9"/>
        <color rgb="FF203040"/>
        <rFont val="WenQuanYi Zen Hei"/>
        <family val="2"/>
      </rPr>
      <t xml:space="preserve">落后 </t>
    </r>
    <r>
      <rPr>
        <sz val="9"/>
        <color rgb="FF203040"/>
        <rFont val="Arial"/>
        <family val="0"/>
        <charset val="1"/>
      </rPr>
      <t xml:space="preserve">&gt; 5% </t>
    </r>
    <r>
      <rPr>
        <sz val="9"/>
        <color rgb="FF203040"/>
        <rFont val="WenQuanYi Zen Hei"/>
        <family val="2"/>
      </rPr>
      <t xml:space="preserve">且原因在客单价 → 立刻做附加销售动员；原因在客流 → 改动的是外场和外送曝光。</t>
    </r>
  </si>
  <si>
    <t xml:space="preserve">R06</t>
  </si>
  <si>
    <t xml:space="preserve">服务速度日内看板</t>
  </si>
  <si>
    <r>
      <rPr>
        <sz val="9"/>
        <color rgb="FF203040"/>
        <rFont val="WenQuanYi Zen Hei"/>
        <family val="2"/>
      </rPr>
      <t xml:space="preserve">高峰进行中（</t>
    </r>
    <r>
      <rPr>
        <sz val="9"/>
        <color rgb="FF203040"/>
        <rFont val="Arial"/>
        <family val="0"/>
        <charset val="1"/>
      </rPr>
      <t xml:space="preserve">11:30 / 18:00</t>
    </r>
    <r>
      <rPr>
        <sz val="9"/>
        <color rgb="FF203040"/>
        <rFont val="WenQuanYi Zen Hei"/>
        <family val="2"/>
      </rPr>
      <t xml:space="preserve">）</t>
    </r>
  </si>
  <si>
    <t xml:space="preserve">现在慢在哪一段？点单、厨房、还是交付？</t>
  </si>
  <si>
    <r>
      <rPr>
        <sz val="9"/>
        <color rgb="FF203040"/>
        <rFont val="WenQuanYi Zen Hei"/>
        <family val="2"/>
      </rPr>
      <t xml:space="preserve">得来速总时长、得来速取餐窗时长、后厨制作时长、前台交付时长 </t>
    </r>
    <r>
      <rPr>
        <sz val="9"/>
        <color rgb="FF203040"/>
        <rFont val="Arial"/>
        <family val="0"/>
        <charset val="1"/>
      </rPr>
      <t xml:space="preserve">(OTD)</t>
    </r>
    <r>
      <rPr>
        <sz val="9"/>
        <color rgb="FF203040"/>
        <rFont val="WenQuanYi Zen Hei"/>
        <family val="2"/>
      </rPr>
      <t xml:space="preserve">、服务速度达标率、外送出餐时长</t>
    </r>
  </si>
  <si>
    <r>
      <rPr>
        <sz val="9"/>
        <color rgb="FF203040"/>
        <rFont val="Arial"/>
        <family val="0"/>
        <charset val="1"/>
      </rPr>
      <t xml:space="preserve">fct_dt_timer</t>
    </r>
    <r>
      <rPr>
        <sz val="9"/>
        <color rgb="FF203040"/>
        <rFont val="WenQuanYi Zen Hei"/>
        <family val="2"/>
      </rPr>
      <t xml:space="preserve">、</t>
    </r>
    <r>
      <rPr>
        <sz val="9"/>
        <color rgb="FF203040"/>
        <rFont val="Arial"/>
        <family val="0"/>
        <charset val="1"/>
      </rPr>
      <t xml:space="preserve">fct_kds_order</t>
    </r>
    <r>
      <rPr>
        <sz val="9"/>
        <color rgb="FF203040"/>
        <rFont val="WenQuanYi Zen Hei"/>
        <family val="2"/>
      </rPr>
      <t xml:space="preserve">、</t>
    </r>
    <r>
      <rPr>
        <sz val="9"/>
        <color rgb="FF203040"/>
        <rFont val="Arial"/>
        <family val="0"/>
        <charset val="1"/>
      </rPr>
      <t xml:space="preserve">fct_delivery_order</t>
    </r>
  </si>
  <si>
    <t xml:space="preserve">窗口时长高 → 后厨备餐没跟上，加人到理货；点单段高 → 加点单员或开第二车道。</t>
  </si>
  <si>
    <t xml:space="preserve">R07</t>
  </si>
  <si>
    <r>
      <rPr>
        <b val="true"/>
        <sz val="9"/>
        <color rgb="FF203040"/>
        <rFont val="WenQuanYi Zen Hei"/>
        <family val="2"/>
      </rPr>
      <t xml:space="preserve">人力投放与 </t>
    </r>
    <r>
      <rPr>
        <b val="true"/>
        <sz val="9"/>
        <color rgb="FF203040"/>
        <rFont val="Arial"/>
        <family val="0"/>
        <charset val="1"/>
      </rPr>
      <t xml:space="preserve">SPLH </t>
    </r>
    <r>
      <rPr>
        <b val="true"/>
        <sz val="9"/>
        <color rgb="FF203040"/>
        <rFont val="WenQuanYi Zen Hei"/>
        <family val="2"/>
      </rPr>
      <t xml:space="preserve">追踪</t>
    </r>
  </si>
  <si>
    <r>
      <rPr>
        <sz val="9"/>
        <color rgb="FF203040"/>
        <rFont val="WenQuanYi Zen Hei"/>
        <family val="2"/>
      </rPr>
      <t xml:space="preserve">高峰后（</t>
    </r>
    <r>
      <rPr>
        <sz val="9"/>
        <color rgb="FF203040"/>
        <rFont val="Arial"/>
        <family val="0"/>
        <charset val="1"/>
      </rPr>
      <t xml:space="preserve">14:00 / 20:30</t>
    </r>
    <r>
      <rPr>
        <sz val="9"/>
        <color rgb="FF203040"/>
        <rFont val="WenQuanYi Zen Hei"/>
        <family val="2"/>
      </rPr>
      <t xml:space="preserve">）</t>
    </r>
  </si>
  <si>
    <t xml:space="preserve">这一波高峰，人是花值了还是花冤了？</t>
  </si>
  <si>
    <r>
      <rPr>
        <sz val="9"/>
        <color rgb="FF203040"/>
        <rFont val="WenQuanYi Zen Hei"/>
        <family val="2"/>
      </rPr>
      <t xml:space="preserve">人时销售 </t>
    </r>
    <r>
      <rPr>
        <sz val="9"/>
        <color rgb="FF203040"/>
        <rFont val="Arial"/>
        <family val="0"/>
        <charset val="1"/>
      </rPr>
      <t xml:space="preserve">(SPLH)</t>
    </r>
    <r>
      <rPr>
        <sz val="9"/>
        <color rgb="FF203040"/>
        <rFont val="WenQuanYi Zen Hei"/>
        <family val="2"/>
      </rPr>
      <t xml:space="preserve">、人工成本率、工时排班偏差、出勤达成率、迟到率</t>
    </r>
  </si>
  <si>
    <r>
      <rPr>
        <sz val="9"/>
        <color rgb="FF203040"/>
        <rFont val="Arial"/>
        <family val="0"/>
        <charset val="1"/>
      </rPr>
      <t xml:space="preserve">fct_timecard</t>
    </r>
    <r>
      <rPr>
        <sz val="9"/>
        <color rgb="FF203040"/>
        <rFont val="WenQuanYi Zen Hei"/>
        <family val="2"/>
      </rPr>
      <t xml:space="preserve">、</t>
    </r>
    <r>
      <rPr>
        <sz val="9"/>
        <color rgb="FF203040"/>
        <rFont val="Arial"/>
        <family val="0"/>
        <charset val="1"/>
      </rPr>
      <t xml:space="preserve">fct_schedule</t>
    </r>
    <r>
      <rPr>
        <sz val="9"/>
        <color rgb="FF203040"/>
        <rFont val="WenQuanYi Zen Hei"/>
        <family val="2"/>
      </rPr>
      <t xml:space="preserve">、</t>
    </r>
    <r>
      <rPr>
        <sz val="9"/>
        <color rgb="FF203040"/>
        <rFont val="Arial"/>
        <family val="0"/>
        <charset val="1"/>
      </rPr>
      <t xml:space="preserve">fct_pos_transaction</t>
    </r>
  </si>
  <si>
    <r>
      <rPr>
        <sz val="9"/>
        <color rgb="FF203040"/>
        <rFont val="Arial"/>
        <family val="0"/>
        <charset val="1"/>
      </rPr>
      <t xml:space="preserve">SPLH </t>
    </r>
    <r>
      <rPr>
        <sz val="9"/>
        <color rgb="FF203040"/>
        <rFont val="WenQuanYi Zen Hei"/>
        <family val="2"/>
      </rPr>
      <t xml:space="preserve">低 </t>
    </r>
    <r>
      <rPr>
        <sz val="9"/>
        <color rgb="FF203040"/>
        <rFont val="Arial"/>
        <family val="0"/>
        <charset val="1"/>
      </rPr>
      <t xml:space="preserve">+ </t>
    </r>
    <r>
      <rPr>
        <sz val="9"/>
        <color rgb="FF203040"/>
        <rFont val="WenQuanYi Zen Hei"/>
        <family val="2"/>
      </rPr>
      <t xml:space="preserve">速度也差 </t>
    </r>
    <r>
      <rPr>
        <sz val="9"/>
        <color rgb="FF203040"/>
        <rFont val="Arial"/>
        <family val="0"/>
        <charset val="1"/>
      </rPr>
      <t xml:space="preserve">= </t>
    </r>
    <r>
      <rPr>
        <sz val="9"/>
        <color rgb="FF203040"/>
        <rFont val="WenQuanYi Zen Hei"/>
        <family val="2"/>
      </rPr>
      <t xml:space="preserve">排班结构错（不是人不够，是人站错岗）→ 调岗位不是加人头。</t>
    </r>
  </si>
  <si>
    <t xml:space="preserve">R08</t>
  </si>
  <si>
    <t xml:space="preserve">废弃与保温批次报表</t>
  </si>
  <si>
    <r>
      <rPr>
        <sz val="9"/>
        <color rgb="FF203040"/>
        <rFont val="Arial"/>
        <family val="0"/>
        <charset val="1"/>
      </rPr>
      <t xml:space="preserve">14:00 / 21:00 </t>
    </r>
    <r>
      <rPr>
        <sz val="9"/>
        <color rgb="FF203040"/>
        <rFont val="WenQuanYi Zen Hei"/>
        <family val="2"/>
      </rPr>
      <t xml:space="preserve">交接班</t>
    </r>
  </si>
  <si>
    <t xml:space="preserve">今天扔了多少？为什么扔？</t>
  </si>
  <si>
    <t xml:space="preserve">废弃率、保温超时率、食品成本率</t>
  </si>
  <si>
    <r>
      <rPr>
        <sz val="9"/>
        <color rgb="FF203040"/>
        <rFont val="Arial"/>
        <family val="0"/>
        <charset val="1"/>
      </rPr>
      <t xml:space="preserve">fct_waste_log</t>
    </r>
    <r>
      <rPr>
        <sz val="9"/>
        <color rgb="FF203040"/>
        <rFont val="WenQuanYi Zen Hei"/>
        <family val="2"/>
      </rPr>
      <t xml:space="preserve">、</t>
    </r>
    <r>
      <rPr>
        <sz val="9"/>
        <color rgb="FF203040"/>
        <rFont val="Arial"/>
        <family val="0"/>
        <charset val="1"/>
      </rPr>
      <t xml:space="preserve">fct_holding_batch</t>
    </r>
    <r>
      <rPr>
        <sz val="9"/>
        <color rgb="FF203040"/>
        <rFont val="WenQuanYi Zen Hei"/>
        <family val="2"/>
      </rPr>
      <t xml:space="preserve">、</t>
    </r>
    <r>
      <rPr>
        <sz val="9"/>
        <color rgb="FF203040"/>
        <rFont val="Arial"/>
        <family val="0"/>
        <charset val="1"/>
      </rPr>
      <t xml:space="preserve">fct_pos_line_item</t>
    </r>
  </si>
  <si>
    <r>
      <rPr>
        <sz val="9"/>
        <color rgb="FF203040"/>
        <rFont val="WenQuanYi Zen Hei"/>
        <family val="2"/>
      </rPr>
      <t xml:space="preserve">成品废弃高 </t>
    </r>
    <r>
      <rPr>
        <sz val="9"/>
        <color rgb="FF203040"/>
        <rFont val="Arial"/>
        <family val="0"/>
        <charset val="1"/>
      </rPr>
      <t xml:space="preserve">= </t>
    </r>
    <r>
      <rPr>
        <sz val="9"/>
        <color rgb="FF203040"/>
        <rFont val="WenQuanYi Zen Hei"/>
        <family val="2"/>
      </rPr>
      <t xml:space="preserve">备货节奏问题（改批量大小）；原料废弃高 </t>
    </r>
    <r>
      <rPr>
        <sz val="9"/>
        <color rgb="FF203040"/>
        <rFont val="Arial"/>
        <family val="0"/>
        <charset val="1"/>
      </rPr>
      <t xml:space="preserve">= </t>
    </r>
    <r>
      <rPr>
        <sz val="9"/>
        <color rgb="FF203040"/>
        <rFont val="WenQuanYi Zen Hei"/>
        <family val="2"/>
      </rPr>
      <t xml:space="preserve">先进先出与订货量问题。</t>
    </r>
  </si>
  <si>
    <t xml:space="preserve">R09</t>
  </si>
  <si>
    <t xml:space="preserve">外送平台运营报表</t>
  </si>
  <si>
    <t xml:space="preserve">外送这四分之一的生意，是在赚钱还是在赔口碑？</t>
  </si>
  <si>
    <t xml:space="preserve">外送出餐时长、外卖平台评分、外送销售占比、订单准确率</t>
  </si>
  <si>
    <r>
      <rPr>
        <sz val="9"/>
        <color rgb="FF203040"/>
        <rFont val="Arial"/>
        <family val="0"/>
        <charset val="1"/>
      </rPr>
      <t xml:space="preserve">fct_delivery_order</t>
    </r>
    <r>
      <rPr>
        <sz val="9"/>
        <color rgb="FF203040"/>
        <rFont val="WenQuanYi Zen Hei"/>
        <family val="2"/>
      </rPr>
      <t xml:space="preserve">、</t>
    </r>
    <r>
      <rPr>
        <sz val="9"/>
        <color rgb="FF203040"/>
        <rFont val="Arial"/>
        <family val="0"/>
        <charset val="1"/>
      </rPr>
      <t xml:space="preserve">fct_order_issue</t>
    </r>
    <r>
      <rPr>
        <sz val="9"/>
        <color rgb="FF203040"/>
        <rFont val="WenQuanYi Zen Hei"/>
        <family val="2"/>
      </rPr>
      <t xml:space="preserve">、</t>
    </r>
    <r>
      <rPr>
        <sz val="9"/>
        <color rgb="FF203040"/>
        <rFont val="Arial"/>
        <family val="0"/>
        <charset val="1"/>
      </rPr>
      <t xml:space="preserve">fct_guest_survey</t>
    </r>
  </si>
  <si>
    <t xml:space="preserve">出餐时长超标 → 高峰给外送单独留一个打包位；差评集中在漏餐 → 上双人核对。</t>
  </si>
  <si>
    <t xml:space="preserve">R10</t>
  </si>
  <si>
    <t xml:space="preserve">顾客反馈与差错清单</t>
  </si>
  <si>
    <t xml:space="preserve">顾客今天在抱怨什么？是不是同一件事在重复发生？</t>
  </si>
  <si>
    <t xml:space="preserve">顾客满意度、千单投诉数、订单准确率、清洁巡检得分</t>
  </si>
  <si>
    <r>
      <rPr>
        <sz val="9"/>
        <color rgb="FF203040"/>
        <rFont val="Arial"/>
        <family val="0"/>
        <charset val="1"/>
      </rPr>
      <t xml:space="preserve">fct_guest_survey</t>
    </r>
    <r>
      <rPr>
        <sz val="9"/>
        <color rgb="FF203040"/>
        <rFont val="WenQuanYi Zen Hei"/>
        <family val="2"/>
      </rPr>
      <t xml:space="preserve">、</t>
    </r>
    <r>
      <rPr>
        <sz val="9"/>
        <color rgb="FF203040"/>
        <rFont val="Arial"/>
        <family val="0"/>
        <charset val="1"/>
      </rPr>
      <t xml:space="preserve">fct_order_issue</t>
    </r>
    <r>
      <rPr>
        <sz val="9"/>
        <color rgb="FF203040"/>
        <rFont val="WenQuanYi Zen Hei"/>
        <family val="2"/>
      </rPr>
      <t xml:space="preserve">、</t>
    </r>
    <r>
      <rPr>
        <sz val="9"/>
        <color rgb="FF203040"/>
        <rFont val="Arial"/>
        <family val="0"/>
        <charset val="1"/>
      </rPr>
      <t xml:space="preserve">fct_travel_path_check</t>
    </r>
  </si>
  <si>
    <r>
      <rPr>
        <sz val="9"/>
        <color rgb="FF203040"/>
        <rFont val="WenQuanYi Zen Hei"/>
        <family val="2"/>
      </rPr>
      <t xml:space="preserve">同一个 </t>
    </r>
    <r>
      <rPr>
        <sz val="9"/>
        <color rgb="FF203040"/>
        <rFont val="Arial"/>
        <family val="0"/>
        <charset val="1"/>
      </rPr>
      <t xml:space="preserve">comment_tag </t>
    </r>
    <r>
      <rPr>
        <sz val="9"/>
        <color rgb="FF203040"/>
        <rFont val="WenQuanYi Zen Hei"/>
        <family val="2"/>
      </rPr>
      <t xml:space="preserve">一周出现 </t>
    </r>
    <r>
      <rPr>
        <sz val="9"/>
        <color rgb="FF203040"/>
        <rFont val="Arial"/>
        <family val="0"/>
        <charset val="1"/>
      </rPr>
      <t xml:space="preserve">3 </t>
    </r>
    <r>
      <rPr>
        <sz val="9"/>
        <color rgb="FF203040"/>
        <rFont val="WenQuanYi Zen Hei"/>
        <family val="2"/>
      </rPr>
      <t xml:space="preserve">次以上 → 它不是个案，是流程缺陷，进周复盘。</t>
    </r>
  </si>
  <si>
    <t xml:space="preserve">R11</t>
  </si>
  <si>
    <r>
      <rPr>
        <b val="true"/>
        <sz val="9"/>
        <color rgb="FF203040"/>
        <rFont val="WenQuanYi Zen Hei"/>
        <family val="2"/>
      </rPr>
      <t xml:space="preserve">闭店日结：销售 </t>
    </r>
    <r>
      <rPr>
        <b val="true"/>
        <sz val="9"/>
        <color rgb="FF203040"/>
        <rFont val="Arial"/>
        <family val="0"/>
        <charset val="1"/>
      </rPr>
      <t xml:space="preserve">/ </t>
    </r>
    <r>
      <rPr>
        <b val="true"/>
        <sz val="9"/>
        <color rgb="FF203040"/>
        <rFont val="WenQuanYi Zen Hei"/>
        <family val="2"/>
      </rPr>
      <t xml:space="preserve">成本 </t>
    </r>
    <r>
      <rPr>
        <b val="true"/>
        <sz val="9"/>
        <color rgb="FF203040"/>
        <rFont val="Arial"/>
        <family val="0"/>
        <charset val="1"/>
      </rPr>
      <t xml:space="preserve">/ </t>
    </r>
    <r>
      <rPr>
        <b val="true"/>
        <sz val="9"/>
        <color rgb="FF203040"/>
        <rFont val="WenQuanYi Zen Hei"/>
        <family val="2"/>
      </rPr>
      <t xml:space="preserve">现金</t>
    </r>
  </si>
  <si>
    <r>
      <rPr>
        <sz val="9"/>
        <color rgb="FF203040"/>
        <rFont val="Arial"/>
        <family val="0"/>
        <charset val="1"/>
      </rPr>
      <t xml:space="preserve">23:30 </t>
    </r>
    <r>
      <rPr>
        <sz val="9"/>
        <color rgb="FF203040"/>
        <rFont val="WenQuanYi Zen Hei"/>
        <family val="2"/>
      </rPr>
      <t xml:space="preserve">闭店</t>
    </r>
  </si>
  <si>
    <t xml:space="preserve">今天的账对不对？成本控住了吗？</t>
  </si>
  <si>
    <r>
      <rPr>
        <sz val="9"/>
        <color rgb="FF203040"/>
        <rFont val="WenQuanYi Zen Hei"/>
        <family val="2"/>
      </rPr>
      <t xml:space="preserve">净销售额、食品成本率、废弃率、人工成本率、人时销售 </t>
    </r>
    <r>
      <rPr>
        <sz val="9"/>
        <color rgb="FF203040"/>
        <rFont val="Arial"/>
        <family val="0"/>
        <charset val="1"/>
      </rPr>
      <t xml:space="preserve">(SPLH)</t>
    </r>
    <r>
      <rPr>
        <sz val="9"/>
        <color rgb="FF203040"/>
        <rFont val="WenQuanYi Zen Hei"/>
        <family val="2"/>
      </rPr>
      <t xml:space="preserve">、现金短溢</t>
    </r>
  </si>
  <si>
    <r>
      <rPr>
        <sz val="9"/>
        <color rgb="FF203040"/>
        <rFont val="Arial"/>
        <family val="0"/>
        <charset val="1"/>
      </rPr>
      <t xml:space="preserve">fct_pos_transaction</t>
    </r>
    <r>
      <rPr>
        <sz val="9"/>
        <color rgb="FF203040"/>
        <rFont val="WenQuanYi Zen Hei"/>
        <family val="2"/>
      </rPr>
      <t xml:space="preserve">、</t>
    </r>
    <r>
      <rPr>
        <sz val="9"/>
        <color rgb="FF203040"/>
        <rFont val="Arial"/>
        <family val="0"/>
        <charset val="1"/>
      </rPr>
      <t xml:space="preserve">fct_payment</t>
    </r>
    <r>
      <rPr>
        <sz val="9"/>
        <color rgb="FF203040"/>
        <rFont val="WenQuanYi Zen Hei"/>
        <family val="2"/>
      </rPr>
      <t xml:space="preserve">、</t>
    </r>
    <r>
      <rPr>
        <sz val="9"/>
        <color rgb="FF203040"/>
        <rFont val="Arial"/>
        <family val="0"/>
        <charset val="1"/>
      </rPr>
      <t xml:space="preserve">agg_food_cost_day</t>
    </r>
    <r>
      <rPr>
        <sz val="9"/>
        <color rgb="FF203040"/>
        <rFont val="WenQuanYi Zen Hei"/>
        <family val="2"/>
      </rPr>
      <t xml:space="preserve">、</t>
    </r>
    <r>
      <rPr>
        <sz val="9"/>
        <color rgb="FF203040"/>
        <rFont val="Arial"/>
        <family val="0"/>
        <charset val="1"/>
      </rPr>
      <t xml:space="preserve">agg_labor_day</t>
    </r>
    <r>
      <rPr>
        <sz val="9"/>
        <color rgb="FF203040"/>
        <rFont val="WenQuanYi Zen Hei"/>
        <family val="2"/>
      </rPr>
      <t xml:space="preserve">、</t>
    </r>
    <r>
      <rPr>
        <sz val="9"/>
        <color rgb="FF203040"/>
        <rFont val="Arial"/>
        <family val="0"/>
        <charset val="1"/>
      </rPr>
      <t xml:space="preserve">fct_cash_declaration</t>
    </r>
    <r>
      <rPr>
        <sz val="9"/>
        <color rgb="FF203040"/>
        <rFont val="WenQuanYi Zen Hei"/>
        <family val="2"/>
      </rPr>
      <t xml:space="preserve">、</t>
    </r>
    <r>
      <rPr>
        <sz val="9"/>
        <color rgb="FF203040"/>
        <rFont val="Arial"/>
        <family val="0"/>
        <charset val="1"/>
      </rPr>
      <t xml:space="preserve">fct_daily_sales_summary</t>
    </r>
  </si>
  <si>
    <t xml:space="preserve">现金短溢超阈值 → 当班复核录像与交接记录，当天闭环，不隔夜。</t>
  </si>
  <si>
    <t xml:space="preserve">R12</t>
  </si>
  <si>
    <t xml:space="preserve">次日准备与交接单</t>
  </si>
  <si>
    <t xml:space="preserve">闭店前</t>
  </si>
  <si>
    <t xml:space="preserve">明天早班一进门，需要知道哪三件事？</t>
  </si>
  <si>
    <t xml:space="preserve">设备停机时长、岗位认证覆盖率、出勤达成率</t>
  </si>
  <si>
    <r>
      <rPr>
        <sz val="9"/>
        <color rgb="FF203040"/>
        <rFont val="Arial"/>
        <family val="0"/>
        <charset val="1"/>
      </rPr>
      <t xml:space="preserve">fct_equipment_ticket</t>
    </r>
    <r>
      <rPr>
        <sz val="9"/>
        <color rgb="FF203040"/>
        <rFont val="WenQuanYi Zen Hei"/>
        <family val="2"/>
      </rPr>
      <t xml:space="preserve">、</t>
    </r>
    <r>
      <rPr>
        <sz val="9"/>
        <color rgb="FF203040"/>
        <rFont val="Arial"/>
        <family val="0"/>
        <charset val="1"/>
      </rPr>
      <t xml:space="preserve">fct_schedule</t>
    </r>
    <r>
      <rPr>
        <sz val="9"/>
        <color rgb="FF203040"/>
        <rFont val="WenQuanYi Zen Hei"/>
        <family val="2"/>
      </rPr>
      <t xml:space="preserve">、</t>
    </r>
    <r>
      <rPr>
        <sz val="9"/>
        <color rgb="FF203040"/>
        <rFont val="Arial"/>
        <family val="0"/>
        <charset val="1"/>
      </rPr>
      <t xml:space="preserve">fct_training_record</t>
    </r>
  </si>
  <si>
    <t xml:space="preserve">交接单只写三件事：坏了什么、缺了谁、明天几点最忙。写多了没人看。</t>
  </si>
  <si>
    <t xml:space="preserve">合计</t>
  </si>
  <si>
    <r>
      <rPr>
        <b val="true"/>
        <sz val="9"/>
        <color rgb="FF203040"/>
        <rFont val="WenQuanYi Zen Hei"/>
        <family val="2"/>
      </rPr>
      <t xml:space="preserve">全天报表时间上限：</t>
    </r>
    <r>
      <rPr>
        <b val="true"/>
        <sz val="9"/>
        <color rgb="FF203040"/>
        <rFont val="Arial"/>
        <family val="0"/>
        <charset val="1"/>
      </rPr>
      <t xml:space="preserve">75 </t>
    </r>
    <r>
      <rPr>
        <b val="true"/>
        <sz val="9"/>
        <color rgb="FF203040"/>
        <rFont val="WenQuanYi Zen Hei"/>
        <family val="2"/>
      </rPr>
      <t xml:space="preserve">分钟</t>
    </r>
  </si>
  <si>
    <r>
      <rPr>
        <b val="true"/>
        <sz val="10.5"/>
        <color rgb="FF203040"/>
        <rFont val="Arial"/>
        <family val="0"/>
        <charset val="1"/>
      </rPr>
      <t xml:space="preserve">B. </t>
    </r>
    <r>
      <rPr>
        <b val="true"/>
        <sz val="10.5"/>
        <color rgb="FF203040"/>
        <rFont val="WenQuanYi Zen Hei"/>
        <family val="2"/>
      </rPr>
      <t xml:space="preserve">每周报表</t>
    </r>
  </si>
  <si>
    <t xml:space="preserve">频率</t>
  </si>
  <si>
    <t xml:space="preserve">W01</t>
  </si>
  <si>
    <r>
      <rPr>
        <b val="true"/>
        <sz val="9"/>
        <color rgb="FF203040"/>
        <rFont val="WenQuanYi Zen Hei"/>
        <family val="2"/>
      </rPr>
      <t xml:space="preserve">周 </t>
    </r>
    <r>
      <rPr>
        <b val="true"/>
        <sz val="9"/>
        <color rgb="FF203040"/>
        <rFont val="Arial"/>
        <family val="0"/>
        <charset val="1"/>
      </rPr>
      <t xml:space="preserve">P&amp;L </t>
    </r>
    <r>
      <rPr>
        <b val="true"/>
        <sz val="9"/>
        <color rgb="FF203040"/>
        <rFont val="WenQuanYi Zen Hei"/>
        <family val="2"/>
      </rPr>
      <t xml:space="preserve">与可控成本复盘</t>
    </r>
  </si>
  <si>
    <t xml:space="preserve">每周</t>
  </si>
  <si>
    <t xml:space="preserve">这周的钱花在哪，下周能省回来多少？</t>
  </si>
  <si>
    <t xml:space="preserve">食品成本率、人工成本率、废弃率、净销售额</t>
  </si>
  <si>
    <t xml:space="preserve">W02</t>
  </si>
  <si>
    <r>
      <rPr>
        <b val="true"/>
        <sz val="9"/>
        <color rgb="FF203040"/>
        <rFont val="WenQuanYi Zen Hei"/>
        <family val="2"/>
      </rPr>
      <t xml:space="preserve">周人员报表：排班效率 </t>
    </r>
    <r>
      <rPr>
        <b val="true"/>
        <sz val="9"/>
        <color rgb="FF203040"/>
        <rFont val="Arial"/>
        <family val="0"/>
        <charset val="1"/>
      </rPr>
      <t xml:space="preserve">/ </t>
    </r>
    <r>
      <rPr>
        <b val="true"/>
        <sz val="9"/>
        <color rgb="FF203040"/>
        <rFont val="WenQuanYi Zen Hei"/>
        <family val="2"/>
      </rPr>
      <t xml:space="preserve">认证 </t>
    </r>
    <r>
      <rPr>
        <b val="true"/>
        <sz val="9"/>
        <color rgb="FF203040"/>
        <rFont val="Arial"/>
        <family val="0"/>
        <charset val="1"/>
      </rPr>
      <t xml:space="preserve">/ </t>
    </r>
    <r>
      <rPr>
        <b val="true"/>
        <sz val="9"/>
        <color rgb="FF203040"/>
        <rFont val="WenQuanYi Zen Hei"/>
        <family val="2"/>
      </rPr>
      <t xml:space="preserve">流失</t>
    </r>
  </si>
  <si>
    <t xml:space="preserve">队伍在变强还是在流血？</t>
  </si>
  <si>
    <r>
      <rPr>
        <sz val="9"/>
        <color rgb="FF203040"/>
        <rFont val="Arial"/>
        <family val="0"/>
        <charset val="1"/>
      </rPr>
      <t xml:space="preserve">30</t>
    </r>
    <r>
      <rPr>
        <sz val="9"/>
        <color rgb="FF203040"/>
        <rFont val="WenQuanYi Zen Hei"/>
        <family val="2"/>
      </rPr>
      <t xml:space="preserve">日员工流失率、岗位认证覆盖率、出勤达成率、人时销售 </t>
    </r>
    <r>
      <rPr>
        <sz val="9"/>
        <color rgb="FF203040"/>
        <rFont val="Arial"/>
        <family val="0"/>
        <charset val="1"/>
      </rPr>
      <t xml:space="preserve">(SPLH)</t>
    </r>
  </si>
  <si>
    <t xml:space="preserve">W03</t>
  </si>
  <si>
    <t xml:space="preserve">周食安与设备健康</t>
  </si>
  <si>
    <t xml:space="preserve">有没有反复出现的同一个隐患？</t>
  </si>
  <si>
    <t xml:space="preserve">食安日检得分、关键温度点异常数、设备停机时长、清洁巡检得分</t>
  </si>
  <si>
    <t xml:space="preserve">W04</t>
  </si>
  <si>
    <t xml:space="preserve">周顾客体验与活动复盘</t>
  </si>
  <si>
    <t xml:space="preserve">顾客的评价，和我们内部的数说的是同一件事吗？</t>
  </si>
  <si>
    <r>
      <rPr>
        <sz val="9"/>
        <color rgb="FF203040"/>
        <rFont val="WenQuanYi Zen Hei"/>
        <family val="2"/>
      </rPr>
      <t xml:space="preserve">顾客满意度、外卖平台评分、千单投诉数、客单价 </t>
    </r>
    <r>
      <rPr>
        <sz val="9"/>
        <color rgb="FF203040"/>
        <rFont val="Arial"/>
        <family val="0"/>
        <charset val="1"/>
      </rPr>
      <t xml:space="preserve">(TC)</t>
    </r>
    <r>
      <rPr>
        <sz val="9"/>
        <color rgb="FF203040"/>
        <rFont val="WenQuanYi Zen Hei"/>
        <family val="2"/>
      </rPr>
      <t xml:space="preserve">、附加销售率</t>
    </r>
  </si>
  <si>
    <r>
      <rPr>
        <b val="true"/>
        <sz val="10.5"/>
        <color rgb="FF203040"/>
        <rFont val="Arial"/>
        <family val="0"/>
        <charset val="1"/>
      </rPr>
      <t xml:space="preserve">C. </t>
    </r>
    <r>
      <rPr>
        <b val="true"/>
        <sz val="10.5"/>
        <color rgb="FF203040"/>
        <rFont val="WenQuanYi Zen Hei"/>
        <family val="2"/>
      </rPr>
      <t xml:space="preserve">责任矩阵：谁 </t>
    </r>
    <r>
      <rPr>
        <b val="true"/>
        <sz val="10.5"/>
        <color rgb="FF203040"/>
        <rFont val="Arial"/>
        <family val="0"/>
        <charset val="1"/>
      </rPr>
      <t xml:space="preserve">× </t>
    </r>
    <r>
      <rPr>
        <b val="true"/>
        <sz val="10.5"/>
        <color rgb="FF203040"/>
        <rFont val="WenQuanYi Zen Hei"/>
        <family val="2"/>
      </rPr>
      <t xml:space="preserve">什么节奏 </t>
    </r>
    <r>
      <rPr>
        <b val="true"/>
        <sz val="10.5"/>
        <color rgb="FF203040"/>
        <rFont val="Arial"/>
        <family val="0"/>
        <charset val="1"/>
      </rPr>
      <t xml:space="preserve">× </t>
    </r>
    <r>
      <rPr>
        <b val="true"/>
        <sz val="10.5"/>
        <color rgb="FF203040"/>
        <rFont val="WenQuanYi Zen Hei"/>
        <family val="2"/>
      </rPr>
      <t xml:space="preserve">盯什么</t>
    </r>
  </si>
  <si>
    <t xml:space="preserve">每日</t>
  </si>
  <si>
    <t xml:space="preserve">每月</t>
  </si>
  <si>
    <r>
      <rPr>
        <sz val="9"/>
        <color rgb="FF203040"/>
        <rFont val="WenQuanYi Zen Hei"/>
        <family val="2"/>
      </rPr>
      <t xml:space="preserve">净销售额、销售达成率、交易笔数 </t>
    </r>
    <r>
      <rPr>
        <sz val="9"/>
        <color rgb="FF203040"/>
        <rFont val="Arial"/>
        <family val="0"/>
        <charset val="1"/>
      </rPr>
      <t xml:space="preserve">(GC)</t>
    </r>
    <r>
      <rPr>
        <sz val="9"/>
        <color rgb="FF203040"/>
        <rFont val="WenQuanYi Zen Hei"/>
        <family val="2"/>
      </rPr>
      <t xml:space="preserve">、外送销售占比、食品成本率、人工成本率、食安日检得分、设备停机时长、顾客满意度、外卖平台评分</t>
    </r>
  </si>
  <si>
    <r>
      <rPr>
        <sz val="9"/>
        <color rgb="FF203040"/>
        <rFont val="Arial"/>
        <family val="0"/>
        <charset val="1"/>
      </rPr>
      <t xml:space="preserve">30</t>
    </r>
    <r>
      <rPr>
        <sz val="9"/>
        <color rgb="FF203040"/>
        <rFont val="WenQuanYi Zen Hei"/>
        <family val="2"/>
      </rPr>
      <t xml:space="preserve">日员工流失率</t>
    </r>
  </si>
  <si>
    <t xml:space="preserve">—</t>
  </si>
  <si>
    <r>
      <rPr>
        <sz val="9"/>
        <color rgb="FF203040"/>
        <rFont val="WenQuanYi Zen Hei"/>
        <family val="2"/>
      </rPr>
      <t xml:space="preserve">客单价 </t>
    </r>
    <r>
      <rPr>
        <sz val="9"/>
        <color rgb="FF203040"/>
        <rFont val="Arial"/>
        <family val="0"/>
        <charset val="1"/>
      </rPr>
      <t xml:space="preserve">(TC)</t>
    </r>
    <r>
      <rPr>
        <sz val="9"/>
        <color rgb="FF203040"/>
        <rFont val="WenQuanYi Zen Hei"/>
        <family val="2"/>
      </rPr>
      <t xml:space="preserve">、单均件数、得来速总时长、得来速取餐窗时长、前台交付时长 </t>
    </r>
    <r>
      <rPr>
        <sz val="9"/>
        <color rgb="FF203040"/>
        <rFont val="Arial"/>
        <family val="0"/>
        <charset val="1"/>
      </rPr>
      <t xml:space="preserve">(OTD)</t>
    </r>
    <r>
      <rPr>
        <sz val="9"/>
        <color rgb="FF203040"/>
        <rFont val="WenQuanYi Zen Hei"/>
        <family val="2"/>
      </rPr>
      <t xml:space="preserve">、服务速度达标率、订单准确率、废弃率、人时销售 </t>
    </r>
    <r>
      <rPr>
        <sz val="9"/>
        <color rgb="FF203040"/>
        <rFont val="Arial"/>
        <family val="0"/>
        <charset val="1"/>
      </rPr>
      <t xml:space="preserve">(SPLH)</t>
    </r>
    <r>
      <rPr>
        <sz val="9"/>
        <color rgb="FF203040"/>
        <rFont val="WenQuanYi Zen Hei"/>
        <family val="2"/>
      </rPr>
      <t xml:space="preserve">、工时排班偏差、现金短溢、关键温度点异常数、清洁巡检得分、出勤达成率、千单投诉数</t>
    </r>
  </si>
  <si>
    <t xml:space="preserve">组长</t>
  </si>
  <si>
    <t xml:space="preserve">附加销售率、后厨制作时长、外送出餐时长、保温超时率、迟到率</t>
  </si>
  <si>
    <t xml:space="preserve">训练员</t>
  </si>
  <si>
    <t xml:space="preserve">责任矩阵一年也不改几次，但它是「这本工作簿到底归谁管」的唯一答案，也是新店长交接时第一份要看的东西。</t>
  </si>
  <si>
    <r>
      <rPr>
        <b val="true"/>
        <sz val="16"/>
        <color rgb="FFFFFFFF"/>
        <rFont val="WenQuanYi Zen Hei"/>
        <family val="2"/>
      </rPr>
      <t xml:space="preserve">行动卡 </t>
    </r>
    <r>
      <rPr>
        <b val="true"/>
        <sz val="16"/>
        <color rgb="FFFFFFFF"/>
        <rFont val="Arial"/>
        <family val="0"/>
        <charset val="1"/>
      </rPr>
      <t xml:space="preserve">· Action Playbooks</t>
    </r>
  </si>
  <si>
    <t xml:space="preserve">红灯亮了做什么。每张卡的结构固定：先判断根因（同一个红灯，根因不同则动作相反，猜错了比不做还糟），再给动作，最后给验证方式。</t>
  </si>
  <si>
    <t xml:space="preserve">适用情况</t>
  </si>
  <si>
    <t xml:space="preserve">先判断什么（诊断）</t>
  </si>
  <si>
    <t xml:space="preserve">动作</t>
  </si>
  <si>
    <t xml:space="preserve">怎么验证</t>
  </si>
  <si>
    <t xml:space="preserve">PB-01</t>
  </si>
  <si>
    <r>
      <rPr>
        <b val="true"/>
        <sz val="9"/>
        <color rgb="FF203040"/>
        <rFont val="WenQuanYi Zen Hei"/>
        <family val="2"/>
      </rPr>
      <t xml:space="preserve">销售 </t>
    </r>
    <r>
      <rPr>
        <b val="true"/>
        <sz val="9"/>
        <color rgb="FF203040"/>
        <rFont val="Arial"/>
        <family val="0"/>
        <charset val="1"/>
      </rPr>
      <t xml:space="preserve">/ </t>
    </r>
    <r>
      <rPr>
        <b val="true"/>
        <sz val="9"/>
        <color rgb="FF203040"/>
        <rFont val="WenQuanYi Zen Hei"/>
        <family val="2"/>
      </rPr>
      <t xml:space="preserve">客流不达标</t>
    </r>
  </si>
  <si>
    <t xml:space="preserve">先分清是「人少」还是「人均少」：看交易笔数和客单价哪个先塌</t>
  </si>
  <si>
    <r>
      <rPr>
        <sz val="9"/>
        <color rgb="FF203040"/>
        <rFont val="WenQuanYi Zen Hei"/>
        <family val="2"/>
      </rPr>
      <t xml:space="preserve">客流少 → 查天气</t>
    </r>
    <r>
      <rPr>
        <sz val="9"/>
        <color rgb="FF203040"/>
        <rFont val="Arial"/>
        <family val="0"/>
        <charset val="1"/>
      </rPr>
      <t xml:space="preserve">/</t>
    </r>
    <r>
      <rPr>
        <sz val="9"/>
        <color rgb="FF203040"/>
        <rFont val="WenQuanYi Zen Hei"/>
        <family val="2"/>
      </rPr>
      <t xml:space="preserve">施工</t>
    </r>
    <r>
      <rPr>
        <sz val="9"/>
        <color rgb="FF203040"/>
        <rFont val="Arial"/>
        <family val="0"/>
        <charset val="1"/>
      </rPr>
      <t xml:space="preserve">/</t>
    </r>
    <r>
      <rPr>
        <sz val="9"/>
        <color rgb="FF203040"/>
        <rFont val="WenQuanYi Zen Hei"/>
        <family val="2"/>
      </rPr>
      <t xml:space="preserve">竞品</t>
    </r>
    <r>
      <rPr>
        <sz val="9"/>
        <color rgb="FF203040"/>
        <rFont val="Arial"/>
        <family val="0"/>
        <charset val="1"/>
      </rPr>
      <t xml:space="preserve">/</t>
    </r>
    <r>
      <rPr>
        <sz val="9"/>
        <color rgb="FF203040"/>
        <rFont val="WenQuanYi Zen Hei"/>
        <family val="2"/>
      </rPr>
      <t xml:space="preserve">平台曝光</t>
    </r>
    <r>
      <rPr>
        <sz val="9"/>
        <color rgb="FF203040"/>
        <rFont val="Arial"/>
        <family val="0"/>
        <charset val="1"/>
      </rPr>
      <t xml:space="preserve">/</t>
    </r>
    <r>
      <rPr>
        <sz val="9"/>
        <color rgb="FF203040"/>
        <rFont val="WenQuanYi Zen Hei"/>
        <family val="2"/>
      </rPr>
      <t xml:space="preserve">点餐机故障；客单少 → 走 </t>
    </r>
    <r>
      <rPr>
        <sz val="9"/>
        <color rgb="FF203040"/>
        <rFont val="Arial"/>
        <family val="0"/>
        <charset val="1"/>
      </rPr>
      <t xml:space="preserve">PB-02</t>
    </r>
    <r>
      <rPr>
        <sz val="9"/>
        <color rgb="FF203040"/>
        <rFont val="WenQuanYi Zen Hei"/>
        <family val="2"/>
      </rPr>
      <t xml:space="preserve">；两个都跌 → 单时段跌是具体事件，全时段跌是商圈或平台层面</t>
    </r>
  </si>
  <si>
    <r>
      <rPr>
        <sz val="9"/>
        <color rgb="FF203040"/>
        <rFont val="WenQuanYi Zen Hei"/>
        <family val="2"/>
      </rPr>
      <t xml:space="preserve">次日同时段同渠道回到预测的 </t>
    </r>
    <r>
      <rPr>
        <sz val="9"/>
        <color rgb="FF203040"/>
        <rFont val="Arial"/>
        <family val="0"/>
        <charset val="1"/>
      </rPr>
      <t xml:space="preserve">±3% </t>
    </r>
    <r>
      <rPr>
        <sz val="9"/>
        <color rgb="FF203040"/>
        <rFont val="WenQuanYi Zen Hei"/>
        <family val="2"/>
      </rPr>
      <t xml:space="preserve">以内</t>
    </r>
  </si>
  <si>
    <t xml:space="preserve">PB-02</t>
  </si>
  <si>
    <r>
      <rPr>
        <b val="true"/>
        <sz val="9"/>
        <color rgb="FF203040"/>
        <rFont val="WenQuanYi Zen Hei"/>
        <family val="2"/>
      </rPr>
      <t xml:space="preserve">客单价 </t>
    </r>
    <r>
      <rPr>
        <b val="true"/>
        <sz val="9"/>
        <color rgb="FF203040"/>
        <rFont val="Arial"/>
        <family val="0"/>
        <charset val="1"/>
      </rPr>
      <t xml:space="preserve">/ </t>
    </r>
    <r>
      <rPr>
        <b val="true"/>
        <sz val="9"/>
        <color rgb="FF203040"/>
        <rFont val="WenQuanYi Zen Hei"/>
        <family val="2"/>
      </rPr>
      <t xml:space="preserve">附加销售不足</t>
    </r>
  </si>
  <si>
    <r>
      <rPr>
        <sz val="9"/>
        <color rgb="FF203040"/>
        <rFont val="WenQuanYi Zen Hei"/>
        <family val="2"/>
      </rPr>
      <t xml:space="preserve">人工点单低、点餐机正常 </t>
    </r>
    <r>
      <rPr>
        <sz val="9"/>
        <color rgb="FF203040"/>
        <rFont val="Arial"/>
        <family val="0"/>
        <charset val="1"/>
      </rPr>
      <t xml:space="preserve">= </t>
    </r>
    <r>
      <rPr>
        <sz val="9"/>
        <color rgb="FF203040"/>
        <rFont val="WenQuanYi Zen Hei"/>
        <family val="2"/>
      </rPr>
      <t xml:space="preserve">人的问题；两个都低 </t>
    </r>
    <r>
      <rPr>
        <sz val="9"/>
        <color rgb="FF203040"/>
        <rFont val="Arial"/>
        <family val="0"/>
        <charset val="1"/>
      </rPr>
      <t xml:space="preserve">= </t>
    </r>
    <r>
      <rPr>
        <sz val="9"/>
        <color rgb="FF203040"/>
        <rFont val="WenQuanYi Zen Hei"/>
        <family val="2"/>
      </rPr>
      <t xml:space="preserve">产品结构问题（上报）</t>
    </r>
  </si>
  <si>
    <r>
      <rPr>
        <sz val="9"/>
        <color rgb="FF203040"/>
        <rFont val="WenQuanYi Zen Hei"/>
        <family val="2"/>
      </rPr>
      <t xml:space="preserve">拉附加销售率 </t>
    </r>
    <r>
      <rPr>
        <sz val="9"/>
        <color rgb="FF203040"/>
        <rFont val="Arial"/>
        <family val="0"/>
        <charset val="1"/>
      </rPr>
      <t xml:space="preserve">× </t>
    </r>
    <r>
      <rPr>
        <sz val="9"/>
        <color rgb="FF203040"/>
        <rFont val="WenQuanYi Zen Hei"/>
        <family val="2"/>
      </rPr>
      <t xml:space="preserve">收银员找出后 </t>
    </r>
    <r>
      <rPr>
        <sz val="9"/>
        <color rgb="FF203040"/>
        <rFont val="Arial"/>
        <family val="0"/>
        <charset val="1"/>
      </rPr>
      <t xml:space="preserve">30%</t>
    </r>
    <r>
      <rPr>
        <sz val="9"/>
        <color rgb="FF203040"/>
        <rFont val="WenQuanYi Zen Hei"/>
        <family val="2"/>
      </rPr>
      <t xml:space="preserve">；班前会只指定 </t>
    </r>
    <r>
      <rPr>
        <sz val="9"/>
        <color rgb="FF203040"/>
        <rFont val="Arial"/>
        <family val="0"/>
        <charset val="1"/>
      </rPr>
      <t xml:space="preserve">1 </t>
    </r>
    <r>
      <rPr>
        <sz val="9"/>
        <color rgb="FF203040"/>
        <rFont val="WenQuanYi Zen Hei"/>
        <family val="2"/>
      </rPr>
      <t xml:space="preserve">个主推品（推三个等于不推）；训练员跟班 </t>
    </r>
    <r>
      <rPr>
        <sz val="9"/>
        <color rgb="FF203040"/>
        <rFont val="Arial"/>
        <family val="0"/>
        <charset val="1"/>
      </rPr>
      <t xml:space="preserve">2 </t>
    </r>
    <r>
      <rPr>
        <sz val="9"/>
        <color rgb="FF203040"/>
        <rFont val="WenQuanYi Zen Hei"/>
        <family val="2"/>
      </rPr>
      <t xml:space="preserve">小时</t>
    </r>
  </si>
  <si>
    <r>
      <rPr>
        <sz val="9"/>
        <color rgb="FF203040"/>
        <rFont val="WenQuanYi Zen Hei"/>
        <family val="2"/>
      </rPr>
      <t xml:space="preserve">三天内后 </t>
    </r>
    <r>
      <rPr>
        <sz val="9"/>
        <color rgb="FF203040"/>
        <rFont val="Arial"/>
        <family val="0"/>
        <charset val="1"/>
      </rPr>
      <t xml:space="preserve">30% </t>
    </r>
    <r>
      <rPr>
        <sz val="9"/>
        <color rgb="FF203040"/>
        <rFont val="WenQuanYi Zen Hei"/>
        <family val="2"/>
      </rPr>
      <t xml:space="preserve">的人追上门店均值的 </t>
    </r>
    <r>
      <rPr>
        <sz val="9"/>
        <color rgb="FF203040"/>
        <rFont val="Arial"/>
        <family val="0"/>
        <charset val="1"/>
      </rPr>
      <t xml:space="preserve">80%</t>
    </r>
  </si>
  <si>
    <t xml:space="preserve">PB-03</t>
  </si>
  <si>
    <r>
      <rPr>
        <b val="true"/>
        <sz val="9"/>
        <color rgb="FF203040"/>
        <rFont val="WenQuanYi Zen Hei"/>
        <family val="2"/>
      </rPr>
      <t xml:space="preserve">外送时效 </t>
    </r>
    <r>
      <rPr>
        <b val="true"/>
        <sz val="9"/>
        <color rgb="FF203040"/>
        <rFont val="Arial"/>
        <family val="0"/>
        <charset val="1"/>
      </rPr>
      <t xml:space="preserve">/ </t>
    </r>
    <r>
      <rPr>
        <b val="true"/>
        <sz val="9"/>
        <color rgb="FF203040"/>
        <rFont val="WenQuanYi Zen Hei"/>
        <family val="2"/>
      </rPr>
      <t xml:space="preserve">评分下滑</t>
    </r>
  </si>
  <si>
    <t xml:space="preserve">用堂食的办法救外送通常无效——它是两套流程</t>
  </si>
  <si>
    <r>
      <rPr>
        <sz val="9"/>
        <color rgb="FF203040"/>
        <rFont val="WenQuanYi Zen Hei"/>
        <family val="2"/>
      </rPr>
      <t xml:space="preserve">全时段慢 </t>
    </r>
    <r>
      <rPr>
        <sz val="9"/>
        <color rgb="FF203040"/>
        <rFont val="Arial"/>
        <family val="0"/>
        <charset val="1"/>
      </rPr>
      <t xml:space="preserve">= </t>
    </r>
    <r>
      <rPr>
        <sz val="9"/>
        <color rgb="FF203040"/>
        <rFont val="WenQuanYi Zen Hei"/>
        <family val="2"/>
      </rPr>
      <t xml:space="preserve">打包动线与堂食抢人（跨部门，上报）；只高峰慢 </t>
    </r>
    <r>
      <rPr>
        <sz val="9"/>
        <color rgb="FF203040"/>
        <rFont val="Arial"/>
        <family val="0"/>
        <charset val="1"/>
      </rPr>
      <t xml:space="preserve">= </t>
    </r>
    <r>
      <rPr>
        <sz val="9"/>
        <color rgb="FF203040"/>
        <rFont val="WenQuanYi Zen Hei"/>
        <family val="2"/>
      </rPr>
      <t xml:space="preserve">高峰给外送单独留人；某平台慢 </t>
    </r>
    <r>
      <rPr>
        <sz val="9"/>
        <color rgb="FF203040"/>
        <rFont val="Arial"/>
        <family val="0"/>
        <charset val="1"/>
      </rPr>
      <t xml:space="preserve">= </t>
    </r>
    <r>
      <rPr>
        <sz val="9"/>
        <color rgb="FF203040"/>
        <rFont val="WenQuanYi Zen Hei"/>
        <family val="2"/>
      </rPr>
      <t xml:space="preserve">联系平台商务；差评集中漏餐 </t>
    </r>
    <r>
      <rPr>
        <sz val="9"/>
        <color rgb="FF203040"/>
        <rFont val="Arial"/>
        <family val="0"/>
        <charset val="1"/>
      </rPr>
      <t xml:space="preserve">= </t>
    </r>
    <r>
      <rPr>
        <sz val="9"/>
        <color rgb="FF203040"/>
        <rFont val="WenQuanYi Zen Hei"/>
        <family val="2"/>
      </rPr>
      <t xml:space="preserve">双人核对 </t>
    </r>
    <r>
      <rPr>
        <sz val="9"/>
        <color rgb="FF203040"/>
        <rFont val="Arial"/>
        <family val="0"/>
        <charset val="1"/>
      </rPr>
      <t xml:space="preserve">+ </t>
    </r>
    <r>
      <rPr>
        <sz val="9"/>
        <color rgb="FF203040"/>
        <rFont val="WenQuanYi Zen Hei"/>
        <family val="2"/>
      </rPr>
      <t xml:space="preserve">封签</t>
    </r>
  </si>
  <si>
    <r>
      <rPr>
        <sz val="9"/>
        <color rgb="FF203040"/>
        <rFont val="WenQuanYi Zen Hei"/>
        <family val="2"/>
      </rPr>
      <t xml:space="preserve">出餐时长回到目标线连续 </t>
    </r>
    <r>
      <rPr>
        <sz val="9"/>
        <color rgb="FF203040"/>
        <rFont val="Arial"/>
        <family val="0"/>
        <charset val="1"/>
      </rPr>
      <t xml:space="preserve">3 </t>
    </r>
    <r>
      <rPr>
        <sz val="9"/>
        <color rgb="FF203040"/>
        <rFont val="WenQuanYi Zen Hei"/>
        <family val="2"/>
      </rPr>
      <t xml:space="preserve">天；评分是滞后指标，一到两周后才跟上</t>
    </r>
  </si>
  <si>
    <t xml:space="preserve">PB-04</t>
  </si>
  <si>
    <t xml:space="preserve">服务速度不达标</t>
  </si>
  <si>
    <t xml:space="preserve">最需要先诊断再动手的一张卡。直接「加人」是最常见也最贵的错误答案</t>
  </si>
  <si>
    <r>
      <rPr>
        <sz val="9"/>
        <color rgb="FF203040"/>
        <rFont val="WenQuanYi Zen Hei"/>
        <family val="2"/>
      </rPr>
      <t xml:space="preserve">① 分段定位：点单段长→加点单员</t>
    </r>
    <r>
      <rPr>
        <sz val="9"/>
        <color rgb="FF203040"/>
        <rFont val="Arial"/>
        <family val="0"/>
        <charset val="1"/>
      </rPr>
      <t xml:space="preserve">/</t>
    </r>
    <r>
      <rPr>
        <sz val="9"/>
        <color rgb="FF203040"/>
        <rFont val="WenQuanYi Zen Hei"/>
        <family val="2"/>
      </rPr>
      <t xml:space="preserve">开第二车道；取餐窗长→后厨备餐没跟上，加人到理货（不是点单）；制作段长→查设备</t>
    </r>
    <r>
      <rPr>
        <sz val="9"/>
        <color rgb="FF203040"/>
        <rFont val="Arial"/>
        <family val="0"/>
        <charset val="1"/>
      </rPr>
      <t xml:space="preserve">/</t>
    </r>
    <r>
      <rPr>
        <sz val="9"/>
        <color rgb="FF203040"/>
        <rFont val="WenQuanYi Zen Hei"/>
        <family val="2"/>
      </rPr>
      <t xml:space="preserve">批量</t>
    </r>
    <r>
      <rPr>
        <sz val="9"/>
        <color rgb="FF203040"/>
        <rFont val="Arial"/>
        <family val="0"/>
        <charset val="1"/>
      </rPr>
      <t xml:space="preserve">/</t>
    </r>
    <r>
      <rPr>
        <sz val="9"/>
        <color rgb="FF203040"/>
        <rFont val="WenQuanYi Zen Hei"/>
        <family val="2"/>
      </rPr>
      <t xml:space="preserve">新手 ② 分清结构问题（某渠道全时段红）还是产能问题（某时段所有渠道红）</t>
    </r>
  </si>
  <si>
    <r>
      <rPr>
        <sz val="9"/>
        <color rgb="FF203040"/>
        <rFont val="WenQuanYi Zen Hei"/>
        <family val="2"/>
      </rPr>
      <t xml:space="preserve">目标时段达标率回绿，且 </t>
    </r>
    <r>
      <rPr>
        <sz val="9"/>
        <color rgb="FF203040"/>
        <rFont val="Arial"/>
        <family val="0"/>
        <charset val="1"/>
      </rPr>
      <t xml:space="preserve">SPLH </t>
    </r>
    <r>
      <rPr>
        <sz val="9"/>
        <color rgb="FF203040"/>
        <rFont val="WenQuanYi Zen Hei"/>
        <family val="2"/>
      </rPr>
      <t xml:space="preserve">没有明显下降（否则是靠堆人换的，不可持续）</t>
    </r>
  </si>
  <si>
    <t xml:space="preserve">PB-05</t>
  </si>
  <si>
    <r>
      <rPr>
        <b val="true"/>
        <sz val="9"/>
        <color rgb="FF203040"/>
        <rFont val="WenQuanYi Zen Hei"/>
        <family val="2"/>
      </rPr>
      <t xml:space="preserve">订单差错 </t>
    </r>
    <r>
      <rPr>
        <b val="true"/>
        <sz val="9"/>
        <color rgb="FF203040"/>
        <rFont val="Arial"/>
        <family val="0"/>
        <charset val="1"/>
      </rPr>
      <t xml:space="preserve">/ </t>
    </r>
    <r>
      <rPr>
        <b val="true"/>
        <sz val="9"/>
        <color rgb="FF203040"/>
        <rFont val="WenQuanYi Zen Hei"/>
        <family val="2"/>
      </rPr>
      <t xml:space="preserve">投诉上升</t>
    </r>
  </si>
  <si>
    <t xml:space="preserve">先看是不是同一件事在重复发生</t>
  </si>
  <si>
    <r>
      <rPr>
        <sz val="9"/>
        <color rgb="FF203040"/>
        <rFont val="WenQuanYi Zen Hei"/>
        <family val="2"/>
      </rPr>
      <t xml:space="preserve">集中在一种差错类型 → 改流程；集中在一个时段 → 走 </t>
    </r>
    <r>
      <rPr>
        <sz val="9"/>
        <color rgb="FF203040"/>
        <rFont val="Arial"/>
        <family val="0"/>
        <charset val="1"/>
      </rPr>
      <t xml:space="preserve">PB-04</t>
    </r>
    <r>
      <rPr>
        <sz val="9"/>
        <color rgb="FF203040"/>
        <rFont val="WenQuanYi Zen Hei"/>
        <family val="2"/>
      </rPr>
      <t xml:space="preserve">；集中在一个渠道 → 查该渠道的交接环节；分散无规律 → 看岗位认证覆盖率</t>
    </r>
  </si>
  <si>
    <r>
      <rPr>
        <sz val="9"/>
        <color rgb="FF203040"/>
        <rFont val="WenQuanYi Zen Hei"/>
        <family val="2"/>
      </rPr>
      <t xml:space="preserve">千单投诉数连续 </t>
    </r>
    <r>
      <rPr>
        <sz val="9"/>
        <color rgb="FF203040"/>
        <rFont val="Arial"/>
        <family val="0"/>
        <charset val="1"/>
      </rPr>
      <t xml:space="preserve">5 </t>
    </r>
    <r>
      <rPr>
        <sz val="9"/>
        <color rgb="FF203040"/>
        <rFont val="WenQuanYi Zen Hei"/>
        <family val="2"/>
      </rPr>
      <t xml:space="preserve">天在绿线内，且同类差错不再出现在 </t>
    </r>
    <r>
      <rPr>
        <sz val="9"/>
        <color rgb="FF203040"/>
        <rFont val="Arial"/>
        <family val="0"/>
        <charset val="1"/>
      </rPr>
      <t xml:space="preserve">top 3</t>
    </r>
  </si>
  <si>
    <t xml:space="preserve">PB-06</t>
  </si>
  <si>
    <r>
      <rPr>
        <b val="true"/>
        <sz val="9"/>
        <color rgb="FF203040"/>
        <rFont val="WenQuanYi Zen Hei"/>
        <family val="2"/>
      </rPr>
      <t xml:space="preserve">废弃 </t>
    </r>
    <r>
      <rPr>
        <b val="true"/>
        <sz val="9"/>
        <color rgb="FF203040"/>
        <rFont val="Arial"/>
        <family val="0"/>
        <charset val="1"/>
      </rPr>
      <t xml:space="preserve">/ </t>
    </r>
    <r>
      <rPr>
        <b val="true"/>
        <sz val="9"/>
        <color rgb="FF203040"/>
        <rFont val="WenQuanYi Zen Hei"/>
        <family val="2"/>
      </rPr>
      <t xml:space="preserve">食品成本超标</t>
    </r>
  </si>
  <si>
    <t xml:space="preserve">先分清废弃的三种类型，动作完全不同</t>
  </si>
  <si>
    <r>
      <rPr>
        <sz val="9"/>
        <color rgb="FF203040"/>
        <rFont val="WenQuanYi Zen Hei"/>
        <family val="2"/>
      </rPr>
      <t xml:space="preserve">成品废弃（做多了）→ 减小批量、缩短备货提前量；原料废弃（过期掉落）→ 查先进先出、调订货量；保温超时 → 高峰前按预测分批做。食品成本高但废弃正常 → 问题在盘点差异：查配方</t>
    </r>
    <r>
      <rPr>
        <sz val="9"/>
        <color rgb="FF203040"/>
        <rFont val="Arial"/>
        <family val="0"/>
        <charset val="1"/>
      </rPr>
      <t xml:space="preserve">/</t>
    </r>
    <r>
      <rPr>
        <sz val="9"/>
        <color rgb="FF203040"/>
        <rFont val="WenQuanYi Zen Hei"/>
        <family val="2"/>
      </rPr>
      <t xml:space="preserve">打料</t>
    </r>
    <r>
      <rPr>
        <sz val="9"/>
        <color rgb="FF203040"/>
        <rFont val="Arial"/>
        <family val="0"/>
        <charset val="1"/>
      </rPr>
      <t xml:space="preserve">/</t>
    </r>
    <r>
      <rPr>
        <sz val="9"/>
        <color rgb="FF203040"/>
        <rFont val="WenQuanYi Zen Hei"/>
        <family val="2"/>
      </rPr>
      <t xml:space="preserve">收货</t>
    </r>
    <r>
      <rPr>
        <sz val="9"/>
        <color rgb="FF203040"/>
        <rFont val="Arial"/>
        <family val="0"/>
        <charset val="1"/>
      </rPr>
      <t xml:space="preserve">/</t>
    </r>
    <r>
      <rPr>
        <sz val="9"/>
        <color rgb="FF203040"/>
        <rFont val="WenQuanYi Zen Hei"/>
        <family val="2"/>
      </rPr>
      <t xml:space="preserve">废弃漏登记</t>
    </r>
  </si>
  <si>
    <t xml:space="preserve">次日同时段废弃回绿；一周后食品成本率跟上</t>
  </si>
  <si>
    <t xml:space="preserve">PB-07</t>
  </si>
  <si>
    <r>
      <rPr>
        <b val="true"/>
        <sz val="9"/>
        <color rgb="FF203040"/>
        <rFont val="WenQuanYi Zen Hei"/>
        <family val="2"/>
      </rPr>
      <t xml:space="preserve">人工成本 </t>
    </r>
    <r>
      <rPr>
        <b val="true"/>
        <sz val="9"/>
        <color rgb="FF203040"/>
        <rFont val="Arial"/>
        <family val="0"/>
        <charset val="1"/>
      </rPr>
      <t xml:space="preserve">/ </t>
    </r>
    <r>
      <rPr>
        <b val="true"/>
        <sz val="9"/>
        <color rgb="FF203040"/>
        <rFont val="WenQuanYi Zen Hei"/>
        <family val="2"/>
      </rPr>
      <t xml:space="preserve">排班效率</t>
    </r>
  </si>
  <si>
    <r>
      <rPr>
        <sz val="9"/>
        <color rgb="FF203040"/>
        <rFont val="WenQuanYi Zen Hei"/>
        <family val="2"/>
      </rPr>
      <t xml:space="preserve">看 </t>
    </r>
    <r>
      <rPr>
        <sz val="9"/>
        <color rgb="FF203040"/>
        <rFont val="Arial"/>
        <family val="0"/>
        <charset val="1"/>
      </rPr>
      <t xml:space="preserve">SPLH </t>
    </r>
    <r>
      <rPr>
        <sz val="9"/>
        <color rgb="FF203040"/>
        <rFont val="WenQuanYi Zen Hei"/>
        <family val="2"/>
      </rPr>
      <t xml:space="preserve">与速度的组合，这是判断根因的关键</t>
    </r>
  </si>
  <si>
    <r>
      <rPr>
        <sz val="9"/>
        <color rgb="FF203040"/>
        <rFont val="Arial"/>
        <family val="0"/>
        <charset val="1"/>
      </rPr>
      <t xml:space="preserve">SPLH </t>
    </r>
    <r>
      <rPr>
        <sz val="9"/>
        <color rgb="FF203040"/>
        <rFont val="WenQuanYi Zen Hei"/>
        <family val="2"/>
      </rPr>
      <t xml:space="preserve">低 </t>
    </r>
    <r>
      <rPr>
        <sz val="9"/>
        <color rgb="FF203040"/>
        <rFont val="Arial"/>
        <family val="0"/>
        <charset val="1"/>
      </rPr>
      <t xml:space="preserve">+ </t>
    </r>
    <r>
      <rPr>
        <sz val="9"/>
        <color rgb="FF203040"/>
        <rFont val="WenQuanYi Zen Hei"/>
        <family val="2"/>
      </rPr>
      <t xml:space="preserve">速度差 </t>
    </r>
    <r>
      <rPr>
        <sz val="9"/>
        <color rgb="FF203040"/>
        <rFont val="Arial"/>
        <family val="0"/>
        <charset val="1"/>
      </rPr>
      <t xml:space="preserve">= </t>
    </r>
    <r>
      <rPr>
        <sz val="9"/>
        <color rgb="FF203040"/>
        <rFont val="WenQuanYi Zen Hei"/>
        <family val="2"/>
      </rPr>
      <t xml:space="preserve">排班结构错（人站错岗），调岗位不是加人头；</t>
    </r>
    <r>
      <rPr>
        <sz val="9"/>
        <color rgb="FF203040"/>
        <rFont val="Arial"/>
        <family val="0"/>
        <charset val="1"/>
      </rPr>
      <t xml:space="preserve">SPLH </t>
    </r>
    <r>
      <rPr>
        <sz val="9"/>
        <color rgb="FF203040"/>
        <rFont val="WenQuanYi Zen Hei"/>
        <family val="2"/>
      </rPr>
      <t xml:space="preserve">低 </t>
    </r>
    <r>
      <rPr>
        <sz val="9"/>
        <color rgb="FF203040"/>
        <rFont val="Arial"/>
        <family val="0"/>
        <charset val="1"/>
      </rPr>
      <t xml:space="preserve">+ </t>
    </r>
    <r>
      <rPr>
        <sz val="9"/>
        <color rgb="FF203040"/>
        <rFont val="WenQuanYi Zen Hei"/>
        <family val="2"/>
      </rPr>
      <t xml:space="preserve">速度好 </t>
    </r>
    <r>
      <rPr>
        <sz val="9"/>
        <color rgb="FF203040"/>
        <rFont val="Arial"/>
        <family val="0"/>
        <charset val="1"/>
      </rPr>
      <t xml:space="preserve">= </t>
    </r>
    <r>
      <rPr>
        <sz val="9"/>
        <color rgb="FF203040"/>
        <rFont val="WenQuanYi Zen Hei"/>
        <family val="2"/>
      </rPr>
      <t xml:space="preserve">人排多了，削平峰保高峰；</t>
    </r>
    <r>
      <rPr>
        <sz val="9"/>
        <color rgb="FF203040"/>
        <rFont val="Arial"/>
        <family val="0"/>
        <charset val="1"/>
      </rPr>
      <t xml:space="preserve">SPLH </t>
    </r>
    <r>
      <rPr>
        <sz val="9"/>
        <color rgb="FF203040"/>
        <rFont val="WenQuanYi Zen Hei"/>
        <family val="2"/>
      </rPr>
      <t xml:space="preserve">高 </t>
    </r>
    <r>
      <rPr>
        <sz val="9"/>
        <color rgb="FF203040"/>
        <rFont val="Arial"/>
        <family val="0"/>
        <charset val="1"/>
      </rPr>
      <t xml:space="preserve">+ </t>
    </r>
    <r>
      <rPr>
        <sz val="9"/>
        <color rgb="FF203040"/>
        <rFont val="WenQuanYi Zen Hei"/>
        <family val="2"/>
      </rPr>
      <t xml:space="preserve">速度差 </t>
    </r>
    <r>
      <rPr>
        <sz val="9"/>
        <color rgb="FF203040"/>
        <rFont val="Arial"/>
        <family val="0"/>
        <charset val="1"/>
      </rPr>
      <t xml:space="preserve">= </t>
    </r>
    <r>
      <rPr>
        <sz val="9"/>
        <color rgb="FF203040"/>
        <rFont val="WenQuanYi Zen Hei"/>
        <family val="2"/>
      </rPr>
      <t xml:space="preserve">真的需要加人；两个都好 </t>
    </r>
    <r>
      <rPr>
        <sz val="9"/>
        <color rgb="FF203040"/>
        <rFont val="Arial"/>
        <family val="0"/>
        <charset val="1"/>
      </rPr>
      <t xml:space="preserve">= </t>
    </r>
    <r>
      <rPr>
        <sz val="9"/>
        <color rgb="FF203040"/>
        <rFont val="WenQuanYi Zen Hei"/>
        <family val="2"/>
      </rPr>
      <t xml:space="preserve">记下这天的排班曲线做模板</t>
    </r>
  </si>
  <si>
    <r>
      <rPr>
        <sz val="9"/>
        <color rgb="FF203040"/>
        <rFont val="WenQuanYi Zen Hei"/>
        <family val="2"/>
      </rPr>
      <t xml:space="preserve">目标时段 </t>
    </r>
    <r>
      <rPr>
        <sz val="9"/>
        <color rgb="FF203040"/>
        <rFont val="Arial"/>
        <family val="0"/>
        <charset val="1"/>
      </rPr>
      <t xml:space="preserve">SPLH </t>
    </r>
    <r>
      <rPr>
        <sz val="9"/>
        <color rgb="FF203040"/>
        <rFont val="WenQuanYi Zen Hei"/>
        <family val="2"/>
      </rPr>
      <t xml:space="preserve">回绿，且速度达标率不下降</t>
    </r>
  </si>
  <si>
    <t xml:space="preserve">PB-08</t>
  </si>
  <si>
    <t xml:space="preserve">金额小但性质是内控问题，不按金额大小排优先级</t>
  </si>
  <si>
    <t xml:space="preserve">定位到班次和收银员 → 复核交接记录与监控 → 当天闭环不隔夜 → 同一人连续出现转人事流程</t>
  </si>
  <si>
    <t xml:space="preserve">当日闭环并留下书面记录</t>
  </si>
  <si>
    <t xml:space="preserve">PB-09</t>
  </si>
  <si>
    <r>
      <rPr>
        <b val="true"/>
        <sz val="9"/>
        <color rgb="FF203040"/>
        <rFont val="WenQuanYi Zen Hei"/>
        <family val="2"/>
      </rPr>
      <t xml:space="preserve">食安失分 </t>
    </r>
    <r>
      <rPr>
        <b val="true"/>
        <sz val="9"/>
        <color rgb="FF203040"/>
        <rFont val="Arial"/>
        <family val="0"/>
        <charset val="1"/>
      </rPr>
      <t xml:space="preserve">/ </t>
    </r>
    <r>
      <rPr>
        <b val="true"/>
        <sz val="9"/>
        <color rgb="FF203040"/>
        <rFont val="WenQuanYi Zen Hei"/>
        <family val="2"/>
      </rPr>
      <t xml:space="preserve">温度异常</t>
    </r>
  </si>
  <si>
    <t xml:space="preserve">这张卡没有「先记着」这个选项</t>
  </si>
  <si>
    <r>
      <rPr>
        <sz val="9"/>
        <color rgb="FF203040"/>
        <rFont val="WenQuanYi Zen Hei"/>
        <family val="2"/>
      </rPr>
      <t xml:space="preserve">关键项 </t>
    </r>
    <r>
      <rPr>
        <sz val="9"/>
        <color rgb="FF203040"/>
        <rFont val="Arial"/>
        <family val="0"/>
        <charset val="1"/>
      </rPr>
      <t xml:space="preserve">fail = </t>
    </r>
    <r>
      <rPr>
        <sz val="9"/>
        <color rgb="FF203040"/>
        <rFont val="WenQuanYi Zen Hei"/>
        <family val="2"/>
      </rPr>
      <t xml:space="preserve">立即停止该产品出品，整改复检通过才恢复；温度超标 </t>
    </r>
    <r>
      <rPr>
        <sz val="9"/>
        <color rgb="FF203040"/>
        <rFont val="Arial"/>
        <family val="0"/>
        <charset val="1"/>
      </rPr>
      <t xml:space="preserve">= </t>
    </r>
    <r>
      <rPr>
        <sz val="9"/>
        <color rgb="FF203040"/>
        <rFont val="WenQuanYi Zen Hei"/>
        <family val="2"/>
      </rPr>
      <t xml:space="preserve">判断受影响批次范围并按标准处置 → 报修 → 加密监测；冷藏</t>
    </r>
    <r>
      <rPr>
        <sz val="9"/>
        <color rgb="FF203040"/>
        <rFont val="Arial"/>
        <family val="0"/>
        <charset val="1"/>
      </rPr>
      <t xml:space="preserve">/</t>
    </r>
    <r>
      <rPr>
        <sz val="9"/>
        <color rgb="FF203040"/>
        <rFont val="WenQuanYi Zen Hei"/>
        <family val="2"/>
      </rPr>
      <t xml:space="preserve">冷冻库超标可能触发全库处置</t>
    </r>
  </si>
  <si>
    <r>
      <rPr>
        <sz val="9"/>
        <color rgb="FF203040"/>
        <rFont val="WenQuanYi Zen Hei"/>
        <family val="2"/>
      </rPr>
      <t xml:space="preserve">复检通过 </t>
    </r>
    <r>
      <rPr>
        <sz val="9"/>
        <color rgb="FF203040"/>
        <rFont val="Arial"/>
        <family val="0"/>
        <charset val="1"/>
      </rPr>
      <t xml:space="preserve">+ </t>
    </r>
    <r>
      <rPr>
        <sz val="9"/>
        <color rgb="FF203040"/>
        <rFont val="WenQuanYi Zen Hei"/>
        <family val="2"/>
      </rPr>
      <t xml:space="preserve">连续 </t>
    </r>
    <r>
      <rPr>
        <sz val="9"/>
        <color rgb="FF203040"/>
        <rFont val="Arial"/>
        <family val="0"/>
        <charset val="1"/>
      </rPr>
      <t xml:space="preserve">3 </t>
    </r>
    <r>
      <rPr>
        <sz val="9"/>
        <color rgb="FF203040"/>
        <rFont val="WenQuanYi Zen Hei"/>
        <family val="2"/>
      </rPr>
      <t xml:space="preserve">天该项无 </t>
    </r>
    <r>
      <rPr>
        <sz val="9"/>
        <color rgb="FF203040"/>
        <rFont val="Arial"/>
        <family val="0"/>
        <charset val="1"/>
      </rPr>
      <t xml:space="preserve">fail</t>
    </r>
    <r>
      <rPr>
        <sz val="9"/>
        <color rgb="FF203040"/>
        <rFont val="WenQuanYi Zen Hei"/>
        <family val="2"/>
      </rPr>
      <t xml:space="preserve">；同一项一周 </t>
    </r>
    <r>
      <rPr>
        <sz val="9"/>
        <color rgb="FF203040"/>
        <rFont val="Arial"/>
        <family val="0"/>
        <charset val="1"/>
      </rPr>
      <t xml:space="preserve">fail </t>
    </r>
    <r>
      <rPr>
        <sz val="9"/>
        <color rgb="FF203040"/>
        <rFont val="WenQuanYi Zen Hei"/>
        <family val="2"/>
      </rPr>
      <t xml:space="preserve">两次必须上报</t>
    </r>
  </si>
  <si>
    <t xml:space="preserve">PB-10</t>
  </si>
  <si>
    <r>
      <rPr>
        <b val="true"/>
        <sz val="9"/>
        <color rgb="FF203040"/>
        <rFont val="WenQuanYi Zen Hei"/>
        <family val="2"/>
      </rPr>
      <t xml:space="preserve">清洁 </t>
    </r>
    <r>
      <rPr>
        <b val="true"/>
        <sz val="9"/>
        <color rgb="FF203040"/>
        <rFont val="Arial"/>
        <family val="0"/>
        <charset val="1"/>
      </rPr>
      <t xml:space="preserve">/ </t>
    </r>
    <r>
      <rPr>
        <b val="true"/>
        <sz val="9"/>
        <color rgb="FF203040"/>
        <rFont val="WenQuanYi Zen Hei"/>
        <family val="2"/>
      </rPr>
      <t xml:space="preserve">巡店失分</t>
    </r>
  </si>
  <si>
    <t xml:space="preserve">顾客对「干净」的判断在洗手间和餐桌，不在厨房</t>
  </si>
  <si>
    <r>
      <rPr>
        <sz val="9"/>
        <color rgb="FF203040"/>
        <rFont val="WenQuanYi Zen Hei"/>
        <family val="2"/>
      </rPr>
      <t xml:space="preserve">洗手间失分 → 高峰期每小时巡检一次（投入产出比最高）；大堂失分 → 高峰收餐人力不足，走 </t>
    </r>
    <r>
      <rPr>
        <sz val="9"/>
        <color rgb="FF203040"/>
        <rFont val="Arial"/>
        <family val="0"/>
        <charset val="1"/>
      </rPr>
      <t xml:space="preserve">PB-07</t>
    </r>
    <r>
      <rPr>
        <sz val="9"/>
        <color rgb="FF203040"/>
        <rFont val="WenQuanYi Zen Hei"/>
        <family val="2"/>
      </rPr>
      <t xml:space="preserve">；外围</t>
    </r>
    <r>
      <rPr>
        <sz val="9"/>
        <color rgb="FF203040"/>
        <rFont val="Arial"/>
        <family val="0"/>
        <charset val="1"/>
      </rPr>
      <t xml:space="preserve">/</t>
    </r>
    <r>
      <rPr>
        <sz val="9"/>
        <color rgb="FF203040"/>
        <rFont val="WenQuanYi Zen Hei"/>
        <family val="2"/>
      </rPr>
      <t xml:space="preserve">车道失分 → 通常是排班里根本没有这个岗位</t>
    </r>
  </si>
  <si>
    <t xml:space="preserve">分区得分全部回到绿线，且洗手间不再是最低分区</t>
  </si>
  <si>
    <t xml:space="preserve">PB-11</t>
  </si>
  <si>
    <t xml:space="preserve">设备停机</t>
  </si>
  <si>
    <t xml:space="preserve">先决定停售范围，再谈修</t>
  </si>
  <si>
    <t xml:space="preserve">关键设备停机 → 立刻决定哪些产品下架并同步到所有点单渠道（最容易忘的是外送平台：平台还在卖但门店做不出来，是差评的最大来源之一）→ 报修 → 同一设备一月两次故障走更换评估</t>
  </si>
  <si>
    <r>
      <rPr>
        <sz val="9"/>
        <color rgb="FF203040"/>
        <rFont val="WenQuanYi Zen Hei"/>
        <family val="2"/>
      </rPr>
      <t xml:space="preserve">恢复出品 </t>
    </r>
    <r>
      <rPr>
        <sz val="9"/>
        <color rgb="FF203040"/>
        <rFont val="Arial"/>
        <family val="0"/>
        <charset val="1"/>
      </rPr>
      <t xml:space="preserve">+ </t>
    </r>
    <r>
      <rPr>
        <sz val="9"/>
        <color rgb="FF203040"/>
        <rFont val="WenQuanYi Zen Hei"/>
        <family val="2"/>
      </rPr>
      <t xml:space="preserve">工单闭环；周会看一次保养到期清单</t>
    </r>
  </si>
  <si>
    <t xml:space="preserve">PB-12</t>
  </si>
  <si>
    <r>
      <rPr>
        <b val="true"/>
        <sz val="9"/>
        <color rgb="FF203040"/>
        <rFont val="WenQuanYi Zen Hei"/>
        <family val="2"/>
      </rPr>
      <t xml:space="preserve">人员流失 </t>
    </r>
    <r>
      <rPr>
        <b val="true"/>
        <sz val="9"/>
        <color rgb="FF203040"/>
        <rFont val="Arial"/>
        <family val="0"/>
        <charset val="1"/>
      </rPr>
      <t xml:space="preserve">/ </t>
    </r>
    <r>
      <rPr>
        <b val="true"/>
        <sz val="9"/>
        <color rgb="FF203040"/>
        <rFont val="WenQuanYi Zen Hei"/>
        <family val="2"/>
      </rPr>
      <t xml:space="preserve">认证不足</t>
    </r>
  </si>
  <si>
    <t xml:space="preserve">唯一一张不看日数据的卡——日维度上这两个指标全是噪声</t>
  </si>
  <si>
    <r>
      <rPr>
        <sz val="9"/>
        <color rgb="FF203040"/>
        <rFont val="WenQuanYi Zen Hei"/>
        <family val="2"/>
      </rPr>
      <t xml:space="preserve">流失集中在 </t>
    </r>
    <r>
      <rPr>
        <sz val="9"/>
        <color rgb="FF203040"/>
        <rFont val="Arial"/>
        <family val="0"/>
        <charset val="1"/>
      </rPr>
      <t xml:space="preserve">&lt;90 </t>
    </r>
    <r>
      <rPr>
        <sz val="9"/>
        <color rgb="FF203040"/>
        <rFont val="WenQuanYi Zen Hei"/>
        <family val="2"/>
      </rPr>
      <t xml:space="preserve">天 → 入职培训和排班体验的问题（新人被丢在高峰上是最常见原因）；流失分布在 </t>
    </r>
    <r>
      <rPr>
        <sz val="9"/>
        <color rgb="FF203040"/>
        <rFont val="Arial"/>
        <family val="0"/>
        <charset val="1"/>
      </rPr>
      <t xml:space="preserve">&gt;1 </t>
    </r>
    <r>
      <rPr>
        <sz val="9"/>
        <color rgb="FF203040"/>
        <rFont val="WenQuanYi Zen Hei"/>
        <family val="2"/>
      </rPr>
      <t xml:space="preserve">年 → 发展通道或薪酬，超出门店范围，上报；某岗位认证覆盖率长期低 → 训练排期没覆盖到它，而它往往正是速度和废弃问题的源头</t>
    </r>
  </si>
  <si>
    <r>
      <rPr>
        <sz val="9"/>
        <color rgb="FF203040"/>
        <rFont val="WenQuanYi Zen Hei"/>
        <family val="2"/>
      </rPr>
      <t xml:space="preserve">进周会第一页跟踪；这两个指标是速度</t>
    </r>
    <r>
      <rPr>
        <sz val="9"/>
        <color rgb="FF203040"/>
        <rFont val="Arial"/>
        <family val="0"/>
        <charset val="1"/>
      </rPr>
      <t xml:space="preserve">/</t>
    </r>
    <r>
      <rPr>
        <sz val="9"/>
        <color rgb="FF203040"/>
        <rFont val="WenQuanYi Zen Hei"/>
        <family val="2"/>
      </rPr>
      <t xml:space="preserve">废弃</t>
    </r>
    <r>
      <rPr>
        <sz val="9"/>
        <color rgb="FF203040"/>
        <rFont val="Arial"/>
        <family val="0"/>
        <charset val="1"/>
      </rPr>
      <t xml:space="preserve">/</t>
    </r>
    <r>
      <rPr>
        <sz val="9"/>
        <color rgb="FF203040"/>
        <rFont val="WenQuanYi Zen Hei"/>
        <family val="2"/>
      </rPr>
      <t xml:space="preserve">食安</t>
    </r>
    <r>
      <rPr>
        <sz val="9"/>
        <color rgb="FF203040"/>
        <rFont val="Arial"/>
        <family val="0"/>
        <charset val="1"/>
      </rPr>
      <t xml:space="preserve">/</t>
    </r>
    <r>
      <rPr>
        <sz val="9"/>
        <color rgb="FF203040"/>
        <rFont val="WenQuanYi Zen Hei"/>
        <family val="2"/>
      </rPr>
      <t xml:space="preserve">差错红灯的共同上游</t>
    </r>
  </si>
  <si>
    <t xml:space="preserve">行动卡编号挂在「目标与口径」的最后一列，所以「店长看板」和「优先级矩阵」上的每个红灯都会直接告诉你翻哪一张卡。</t>
  </si>
  <si>
    <r>
      <rPr>
        <b val="true"/>
        <sz val="16"/>
        <color rgb="FFFFFFFF"/>
        <rFont val="WenQuanYi Zen Hei"/>
        <family val="2"/>
      </rPr>
      <t xml:space="preserve">目标与口径 </t>
    </r>
    <r>
      <rPr>
        <b val="true"/>
        <sz val="16"/>
        <color rgb="FFFFFFFF"/>
        <rFont val="Arial"/>
        <family val="0"/>
        <charset val="1"/>
      </rPr>
      <t xml:space="preserve">· Targets, Thresholds &amp; KPI Definitions</t>
    </r>
  </si>
  <si>
    <t xml:space="preserve">全本唯一的阈值来源。浅蓝格子可改；改完「店长看板」「优先级矩阵」「归因矩阵」的红黄绿与排序会一起变。示例阈值须按各自门店标准替换。</t>
  </si>
  <si>
    <r>
      <rPr>
        <b val="true"/>
        <sz val="9"/>
        <color rgb="FFFFFFFF"/>
        <rFont val="WenQuanYi Zen Hei"/>
        <family val="2"/>
      </rPr>
      <t xml:space="preserve">定义 </t>
    </r>
    <r>
      <rPr>
        <b val="true"/>
        <sz val="9"/>
        <color rgb="FFFFFFFF"/>
        <rFont val="Arial"/>
        <family val="0"/>
        <charset val="1"/>
      </rPr>
      <t xml:space="preserve">/ </t>
    </r>
    <r>
      <rPr>
        <b val="true"/>
        <sz val="9"/>
        <color rgb="FFFFFFFF"/>
        <rFont val="WenQuanYi Zen Hei"/>
        <family val="2"/>
      </rPr>
      <t xml:space="preserve">公式</t>
    </r>
  </si>
  <si>
    <t xml:space="preserve">方向</t>
  </si>
  <si>
    <t xml:space="preserve">net_sales / guest_count</t>
  </si>
  <si>
    <t xml:space="preserve">越高越好</t>
  </si>
  <si>
    <t xml:space="preserve">CNY</t>
  </si>
  <si>
    <r>
      <rPr>
        <sz val="9"/>
        <color rgb="FF203040"/>
        <rFont val="WenQuanYi Zen Hei"/>
        <family val="2"/>
      </rPr>
      <t xml:space="preserve">外送渠道净销售 </t>
    </r>
    <r>
      <rPr>
        <sz val="9"/>
        <color rgb="FF203040"/>
        <rFont val="Arial"/>
        <family val="0"/>
        <charset val="1"/>
      </rPr>
      <t xml:space="preserve">/ </t>
    </r>
    <r>
      <rPr>
        <sz val="9"/>
        <color rgb="FF203040"/>
        <rFont val="WenQuanYi Zen Hei"/>
        <family val="2"/>
      </rPr>
      <t xml:space="preserve">总净销售 </t>
    </r>
    <r>
      <rPr>
        <sz val="9"/>
        <color rgb="FF203040"/>
        <rFont val="Arial"/>
        <family val="0"/>
        <charset val="1"/>
      </rPr>
      <t xml:space="preserve">* 100</t>
    </r>
  </si>
  <si>
    <t xml:space="preserve">越低越好（上限）</t>
  </si>
  <si>
    <t xml:space="preserve">COUNT(DISTINCT order_id WHERE status='completed')</t>
  </si>
  <si>
    <t xml:space="preserve">笔</t>
  </si>
  <si>
    <t xml:space="preserve">SUM(qty) / guest_count</t>
  </si>
  <si>
    <t xml:space="preserve">件</t>
  </si>
  <si>
    <t xml:space="preserve">SUM(gross_amount - discount_amount - refund_amount)</t>
  </si>
  <si>
    <t xml:space="preserve">net_sales / forecast_sales * 100</t>
  </si>
  <si>
    <r>
      <rPr>
        <sz val="9"/>
        <color rgb="FF203040"/>
        <rFont val="WenQuanYi Zen Hei"/>
        <family val="2"/>
      </rPr>
      <t xml:space="preserve">含加价购</t>
    </r>
    <r>
      <rPr>
        <sz val="9"/>
        <color rgb="FF203040"/>
        <rFont val="Arial"/>
        <family val="0"/>
        <charset val="1"/>
      </rPr>
      <t xml:space="preserve">/</t>
    </r>
    <r>
      <rPr>
        <sz val="9"/>
        <color rgb="FF203040"/>
        <rFont val="WenQuanYi Zen Hei"/>
        <family val="2"/>
      </rPr>
      <t xml:space="preserve">升级</t>
    </r>
    <r>
      <rPr>
        <sz val="9"/>
        <color rgb="FF203040"/>
        <rFont val="Arial"/>
        <family val="0"/>
        <charset val="1"/>
      </rPr>
      <t xml:space="preserve">/</t>
    </r>
    <r>
      <rPr>
        <sz val="9"/>
        <color rgb="FF203040"/>
        <rFont val="WenQuanYi Zen Hei"/>
        <family val="2"/>
      </rPr>
      <t xml:space="preserve">甜品站附加品的订单数 </t>
    </r>
    <r>
      <rPr>
        <sz val="9"/>
        <color rgb="FF203040"/>
        <rFont val="Arial"/>
        <family val="0"/>
        <charset val="1"/>
      </rPr>
      <t xml:space="preserve">/ </t>
    </r>
    <r>
      <rPr>
        <sz val="9"/>
        <color rgb="FF203040"/>
        <rFont val="WenQuanYi Zen Hei"/>
        <family val="2"/>
      </rPr>
      <t xml:space="preserve">人工点单订单数 </t>
    </r>
    <r>
      <rPr>
        <sz val="9"/>
        <color rgb="FF203040"/>
        <rFont val="Arial"/>
        <family val="0"/>
        <charset val="1"/>
      </rPr>
      <t xml:space="preserve">* 100</t>
    </r>
  </si>
  <si>
    <t xml:space="preserve">AVG(rider_pickup_ts - order_accept_ts)</t>
  </si>
  <si>
    <t xml:space="preserve">越低越好</t>
  </si>
  <si>
    <t xml:space="preserve">AVG(depart_ts - arrive_ts)</t>
  </si>
  <si>
    <t xml:space="preserve">AVG(depart_ts - window_arrive_ts)</t>
  </si>
  <si>
    <t xml:space="preserve">AVG(handover_ts - order_ts) WHERE channel IN ('FrontCounter','Kiosk')</t>
  </si>
  <si>
    <t xml:space="preserve">AVG(bump_ts - fire_ts)</t>
  </si>
  <si>
    <r>
      <rPr>
        <sz val="9"/>
        <color rgb="FF203040"/>
        <rFont val="Arial"/>
        <family val="0"/>
        <charset val="1"/>
      </rPr>
      <t xml:space="preserve">(1 - </t>
    </r>
    <r>
      <rPr>
        <sz val="9"/>
        <color rgb="FF203040"/>
        <rFont val="WenQuanYi Zen Hei"/>
        <family val="2"/>
      </rPr>
      <t xml:space="preserve">差错订单数 </t>
    </r>
    <r>
      <rPr>
        <sz val="9"/>
        <color rgb="FF203040"/>
        <rFont val="Arial"/>
        <family val="0"/>
        <charset val="1"/>
      </rPr>
      <t xml:space="preserve">/ </t>
    </r>
    <r>
      <rPr>
        <sz val="9"/>
        <color rgb="FF203040"/>
        <rFont val="WenQuanYi Zen Hei"/>
        <family val="2"/>
      </rPr>
      <t xml:space="preserve">总订单数</t>
    </r>
    <r>
      <rPr>
        <sz val="9"/>
        <color rgb="FF203040"/>
        <rFont val="Arial"/>
        <family val="0"/>
        <charset val="1"/>
      </rPr>
      <t xml:space="preserve">) * 100</t>
    </r>
    <r>
      <rPr>
        <sz val="9"/>
        <color rgb="FF203040"/>
        <rFont val="WenQuanYi Zen Hei"/>
        <family val="2"/>
      </rPr>
      <t xml:space="preserve">，差错来源</t>
    </r>
    <r>
      <rPr>
        <sz val="9"/>
        <color rgb="FF203040"/>
        <rFont val="Arial"/>
        <family val="0"/>
        <charset val="1"/>
      </rPr>
      <t xml:space="preserve">=</t>
    </r>
    <r>
      <rPr>
        <sz val="9"/>
        <color rgb="FF203040"/>
        <rFont val="WenQuanYi Zen Hei"/>
        <family val="2"/>
      </rPr>
      <t xml:space="preserve">退换</t>
    </r>
    <r>
      <rPr>
        <sz val="9"/>
        <color rgb="FF203040"/>
        <rFont val="Arial"/>
        <family val="0"/>
        <charset val="1"/>
      </rPr>
      <t xml:space="preserve">/</t>
    </r>
    <r>
      <rPr>
        <sz val="9"/>
        <color rgb="FF203040"/>
        <rFont val="WenQuanYi Zen Hei"/>
        <family val="2"/>
      </rPr>
      <t xml:space="preserve">顾客投诉</t>
    </r>
    <r>
      <rPr>
        <sz val="9"/>
        <color rgb="FF203040"/>
        <rFont val="Arial"/>
        <family val="0"/>
        <charset val="1"/>
      </rPr>
      <t xml:space="preserve">/</t>
    </r>
    <r>
      <rPr>
        <sz val="9"/>
        <color rgb="FF203040"/>
        <rFont val="WenQuanYi Zen Hei"/>
        <family val="2"/>
      </rPr>
      <t xml:space="preserve">外卖漏餐</t>
    </r>
  </si>
  <si>
    <r>
      <rPr>
        <sz val="9"/>
        <color rgb="FF203040"/>
        <rFont val="WenQuanYi Zen Hei"/>
        <family val="2"/>
      </rPr>
      <t xml:space="preserve">达标订单数 </t>
    </r>
    <r>
      <rPr>
        <sz val="9"/>
        <color rgb="FF203040"/>
        <rFont val="Arial"/>
        <family val="0"/>
        <charset val="1"/>
      </rPr>
      <t xml:space="preserve">/ </t>
    </r>
    <r>
      <rPr>
        <sz val="9"/>
        <color rgb="FF203040"/>
        <rFont val="WenQuanYi Zen Hei"/>
        <family val="2"/>
      </rPr>
      <t xml:space="preserve">总订单数 </t>
    </r>
    <r>
      <rPr>
        <sz val="9"/>
        <color rgb="FF203040"/>
        <rFont val="Arial"/>
        <family val="0"/>
        <charset val="1"/>
      </rPr>
      <t xml:space="preserve">* 100</t>
    </r>
    <r>
      <rPr>
        <sz val="9"/>
        <color rgb="FF203040"/>
        <rFont val="WenQuanYi Zen Hei"/>
        <family val="2"/>
      </rPr>
      <t xml:space="preserve">（各渠道各自的目标时长）</t>
    </r>
  </si>
  <si>
    <r>
      <rPr>
        <sz val="9"/>
        <color rgb="FF203040"/>
        <rFont val="Arial"/>
        <family val="0"/>
        <charset val="1"/>
      </rPr>
      <t xml:space="preserve">ABS(SUM(</t>
    </r>
    <r>
      <rPr>
        <sz val="9"/>
        <color rgb="FF203040"/>
        <rFont val="WenQuanYi Zen Hei"/>
        <family val="2"/>
      </rPr>
      <t xml:space="preserve">实盘金额 </t>
    </r>
    <r>
      <rPr>
        <sz val="9"/>
        <color rgb="FF203040"/>
        <rFont val="Arial"/>
        <family val="0"/>
        <charset val="1"/>
      </rPr>
      <t xml:space="preserve">- </t>
    </r>
    <r>
      <rPr>
        <sz val="9"/>
        <color rgb="FF203040"/>
        <rFont val="WenQuanYi Zen Hei"/>
        <family val="2"/>
      </rPr>
      <t xml:space="preserve">系统应收</t>
    </r>
    <r>
      <rPr>
        <sz val="9"/>
        <color rgb="FF203040"/>
        <rFont val="Arial"/>
        <family val="0"/>
        <charset val="1"/>
      </rPr>
      <t xml:space="preserve">))</t>
    </r>
    <r>
      <rPr>
        <sz val="9"/>
        <color rgb="FF203040"/>
        <rFont val="WenQuanYi Zen Hei"/>
        <family val="2"/>
      </rPr>
      <t xml:space="preserve">，仅现金渠道</t>
    </r>
  </si>
  <si>
    <r>
      <rPr>
        <sz val="9"/>
        <color rgb="FF203040"/>
        <rFont val="Arial"/>
        <family val="0"/>
        <charset val="1"/>
      </rPr>
      <t xml:space="preserve">(</t>
    </r>
    <r>
      <rPr>
        <sz val="9"/>
        <color rgb="FF203040"/>
        <rFont val="WenQuanYi Zen Hei"/>
        <family val="2"/>
      </rPr>
      <t xml:space="preserve">期初库存 </t>
    </r>
    <r>
      <rPr>
        <sz val="9"/>
        <color rgb="FF203040"/>
        <rFont val="Arial"/>
        <family val="0"/>
        <charset val="1"/>
      </rPr>
      <t xml:space="preserve">+ </t>
    </r>
    <r>
      <rPr>
        <sz val="9"/>
        <color rgb="FF203040"/>
        <rFont val="WenQuanYi Zen Hei"/>
        <family val="2"/>
      </rPr>
      <t xml:space="preserve">进货 </t>
    </r>
    <r>
      <rPr>
        <sz val="9"/>
        <color rgb="FF203040"/>
        <rFont val="Arial"/>
        <family val="0"/>
        <charset val="1"/>
      </rPr>
      <t xml:space="preserve">- </t>
    </r>
    <r>
      <rPr>
        <sz val="9"/>
        <color rgb="FF203040"/>
        <rFont val="WenQuanYi Zen Hei"/>
        <family val="2"/>
      </rPr>
      <t xml:space="preserve">期末库存</t>
    </r>
    <r>
      <rPr>
        <sz val="9"/>
        <color rgb="FF203040"/>
        <rFont val="Arial"/>
        <family val="0"/>
        <charset val="1"/>
      </rPr>
      <t xml:space="preserve">) </t>
    </r>
    <r>
      <rPr>
        <sz val="9"/>
        <color rgb="FF203040"/>
        <rFont val="WenQuanYi Zen Hei"/>
        <family val="2"/>
      </rPr>
      <t xml:space="preserve">成本 </t>
    </r>
    <r>
      <rPr>
        <sz val="9"/>
        <color rgb="FF203040"/>
        <rFont val="Arial"/>
        <family val="0"/>
        <charset val="1"/>
      </rPr>
      <t xml:space="preserve">/ </t>
    </r>
    <r>
      <rPr>
        <sz val="9"/>
        <color rgb="FF203040"/>
        <rFont val="WenQuanYi Zen Hei"/>
        <family val="2"/>
      </rPr>
      <t xml:space="preserve">净销售 </t>
    </r>
    <r>
      <rPr>
        <sz val="9"/>
        <color rgb="FF203040"/>
        <rFont val="Arial"/>
        <family val="0"/>
        <charset val="1"/>
      </rPr>
      <t xml:space="preserve">* 100</t>
    </r>
  </si>
  <si>
    <r>
      <rPr>
        <sz val="9"/>
        <color rgb="FF203040"/>
        <rFont val="WenQuanYi Zen Hei"/>
        <family val="2"/>
      </rPr>
      <t xml:space="preserve">实际工时 </t>
    </r>
    <r>
      <rPr>
        <sz val="9"/>
        <color rgb="FF203040"/>
        <rFont val="Arial"/>
        <family val="0"/>
        <charset val="1"/>
      </rPr>
      <t xml:space="preserve">* </t>
    </r>
    <r>
      <rPr>
        <sz val="9"/>
        <color rgb="FF203040"/>
        <rFont val="WenQuanYi Zen Hei"/>
        <family val="2"/>
      </rPr>
      <t xml:space="preserve">平均时薪</t>
    </r>
    <r>
      <rPr>
        <sz val="9"/>
        <color rgb="FF203040"/>
        <rFont val="Arial"/>
        <family val="0"/>
        <charset val="1"/>
      </rPr>
      <t xml:space="preserve">(</t>
    </r>
    <r>
      <rPr>
        <sz val="9"/>
        <color rgb="FF203040"/>
        <rFont val="WenQuanYi Zen Hei"/>
        <family val="2"/>
      </rPr>
      <t xml:space="preserve">含社保</t>
    </r>
    <r>
      <rPr>
        <sz val="9"/>
        <color rgb="FF203040"/>
        <rFont val="Arial"/>
        <family val="0"/>
        <charset val="1"/>
      </rPr>
      <t xml:space="preserve">) / </t>
    </r>
    <r>
      <rPr>
        <sz val="9"/>
        <color rgb="FF203040"/>
        <rFont val="WenQuanYi Zen Hei"/>
        <family val="2"/>
      </rPr>
      <t xml:space="preserve">净销售 </t>
    </r>
    <r>
      <rPr>
        <sz val="9"/>
        <color rgb="FF203040"/>
        <rFont val="Arial"/>
        <family val="0"/>
        <charset val="1"/>
      </rPr>
      <t xml:space="preserve">* 100</t>
    </r>
  </si>
  <si>
    <r>
      <rPr>
        <sz val="9"/>
        <color rgb="FF203040"/>
        <rFont val="Arial"/>
        <family val="0"/>
        <charset val="1"/>
      </rPr>
      <t xml:space="preserve">ABS(</t>
    </r>
    <r>
      <rPr>
        <sz val="9"/>
        <color rgb="FF203040"/>
        <rFont val="WenQuanYi Zen Hei"/>
        <family val="2"/>
      </rPr>
      <t xml:space="preserve">实际工时 </t>
    </r>
    <r>
      <rPr>
        <sz val="9"/>
        <color rgb="FF203040"/>
        <rFont val="Arial"/>
        <family val="0"/>
        <charset val="1"/>
      </rPr>
      <t xml:space="preserve">- </t>
    </r>
    <r>
      <rPr>
        <sz val="9"/>
        <color rgb="FF203040"/>
        <rFont val="WenQuanYi Zen Hei"/>
        <family val="2"/>
      </rPr>
      <t xml:space="preserve">排班工时</t>
    </r>
    <r>
      <rPr>
        <sz val="9"/>
        <color rgb="FF203040"/>
        <rFont val="Arial"/>
        <family val="0"/>
        <charset val="1"/>
      </rPr>
      <t xml:space="preserve">) / </t>
    </r>
    <r>
      <rPr>
        <sz val="9"/>
        <color rgb="FF203040"/>
        <rFont val="WenQuanYi Zen Hei"/>
        <family val="2"/>
      </rPr>
      <t xml:space="preserve">排班工时 </t>
    </r>
    <r>
      <rPr>
        <sz val="9"/>
        <color rgb="FF203040"/>
        <rFont val="Arial"/>
        <family val="0"/>
        <charset val="1"/>
      </rPr>
      <t xml:space="preserve">* 100</t>
    </r>
  </si>
  <si>
    <r>
      <rPr>
        <sz val="9"/>
        <color rgb="FF203040"/>
        <rFont val="WenQuanYi Zen Hei"/>
        <family val="2"/>
      </rPr>
      <t xml:space="preserve">净销售 </t>
    </r>
    <r>
      <rPr>
        <sz val="9"/>
        <color rgb="FF203040"/>
        <rFont val="Arial"/>
        <family val="0"/>
        <charset val="1"/>
      </rPr>
      <t xml:space="preserve">/ </t>
    </r>
    <r>
      <rPr>
        <sz val="9"/>
        <color rgb="FF203040"/>
        <rFont val="WenQuanYi Zen Hei"/>
        <family val="2"/>
      </rPr>
      <t xml:space="preserve">实际总工时</t>
    </r>
  </si>
  <si>
    <r>
      <rPr>
        <sz val="9"/>
        <color rgb="FF203040"/>
        <rFont val="Arial"/>
        <family val="0"/>
        <charset val="1"/>
      </rPr>
      <t xml:space="preserve">(</t>
    </r>
    <r>
      <rPr>
        <sz val="9"/>
        <color rgb="FF203040"/>
        <rFont val="WenQuanYi Zen Hei"/>
        <family val="2"/>
      </rPr>
      <t xml:space="preserve">原料废弃 </t>
    </r>
    <r>
      <rPr>
        <sz val="9"/>
        <color rgb="FF203040"/>
        <rFont val="Arial"/>
        <family val="0"/>
        <charset val="1"/>
      </rPr>
      <t xml:space="preserve">+ </t>
    </r>
    <r>
      <rPr>
        <sz val="9"/>
        <color rgb="FF203040"/>
        <rFont val="WenQuanYi Zen Hei"/>
        <family val="2"/>
      </rPr>
      <t xml:space="preserve">成品废弃</t>
    </r>
    <r>
      <rPr>
        <sz val="9"/>
        <color rgb="FF203040"/>
        <rFont val="Arial"/>
        <family val="0"/>
        <charset val="1"/>
      </rPr>
      <t xml:space="preserve">) </t>
    </r>
    <r>
      <rPr>
        <sz val="9"/>
        <color rgb="FF203040"/>
        <rFont val="WenQuanYi Zen Hei"/>
        <family val="2"/>
      </rPr>
      <t xml:space="preserve">成本 </t>
    </r>
    <r>
      <rPr>
        <sz val="9"/>
        <color rgb="FF203040"/>
        <rFont val="Arial"/>
        <family val="0"/>
        <charset val="1"/>
      </rPr>
      <t xml:space="preserve">/ </t>
    </r>
    <r>
      <rPr>
        <sz val="9"/>
        <color rgb="FF203040"/>
        <rFont val="WenQuanYi Zen Hei"/>
        <family val="2"/>
      </rPr>
      <t xml:space="preserve">净销售 </t>
    </r>
    <r>
      <rPr>
        <sz val="9"/>
        <color rgb="FF203040"/>
        <rFont val="Arial"/>
        <family val="0"/>
        <charset val="1"/>
      </rPr>
      <t xml:space="preserve">* 100</t>
    </r>
  </si>
  <si>
    <r>
      <rPr>
        <sz val="9"/>
        <color rgb="FF203040"/>
        <rFont val="WenQuanYi Zen Hei"/>
        <family val="2"/>
      </rPr>
      <t xml:space="preserve">大堂</t>
    </r>
    <r>
      <rPr>
        <sz val="9"/>
        <color rgb="FF203040"/>
        <rFont val="Arial"/>
        <family val="0"/>
        <charset val="1"/>
      </rPr>
      <t xml:space="preserve">/</t>
    </r>
    <r>
      <rPr>
        <sz val="9"/>
        <color rgb="FF203040"/>
        <rFont val="WenQuanYi Zen Hei"/>
        <family val="2"/>
      </rPr>
      <t xml:space="preserve">洗手间</t>
    </r>
    <r>
      <rPr>
        <sz val="9"/>
        <color rgb="FF203040"/>
        <rFont val="Arial"/>
        <family val="0"/>
        <charset val="1"/>
      </rPr>
      <t xml:space="preserve">/</t>
    </r>
    <r>
      <rPr>
        <sz val="9"/>
        <color rgb="FF203040"/>
        <rFont val="WenQuanYi Zen Hei"/>
        <family val="2"/>
      </rPr>
      <t xml:space="preserve">厨房</t>
    </r>
    <r>
      <rPr>
        <sz val="9"/>
        <color rgb="FF203040"/>
        <rFont val="Arial"/>
        <family val="0"/>
        <charset val="1"/>
      </rPr>
      <t xml:space="preserve">/</t>
    </r>
    <r>
      <rPr>
        <sz val="9"/>
        <color rgb="FF203040"/>
        <rFont val="WenQuanYi Zen Hei"/>
        <family val="2"/>
      </rPr>
      <t xml:space="preserve">外围 四区巡检得分均值</t>
    </r>
  </si>
  <si>
    <t xml:space="preserve">分</t>
  </si>
  <si>
    <r>
      <rPr>
        <sz val="9"/>
        <color rgb="FF203040"/>
        <rFont val="Arial"/>
        <family val="0"/>
        <charset val="1"/>
      </rPr>
      <t xml:space="preserve">COUNT(</t>
    </r>
    <r>
      <rPr>
        <sz val="9"/>
        <color rgb="FF203040"/>
        <rFont val="WenQuanYi Zen Hei"/>
        <family val="2"/>
      </rPr>
      <t xml:space="preserve">温度记录 </t>
    </r>
    <r>
      <rPr>
        <sz val="9"/>
        <color rgb="FF203040"/>
        <rFont val="Arial"/>
        <family val="0"/>
        <charset val="1"/>
      </rPr>
      <t xml:space="preserve">WHERE </t>
    </r>
    <r>
      <rPr>
        <sz val="9"/>
        <color rgb="FF203040"/>
        <rFont val="WenQuanYi Zen Hei"/>
        <family val="2"/>
      </rPr>
      <t xml:space="preserve">超出 </t>
    </r>
    <r>
      <rPr>
        <sz val="9"/>
        <color rgb="FF203040"/>
        <rFont val="Arial"/>
        <family val="0"/>
        <charset val="1"/>
      </rPr>
      <t xml:space="preserve">SOP </t>
    </r>
    <r>
      <rPr>
        <sz val="9"/>
        <color rgb="FF203040"/>
        <rFont val="WenQuanYi Zen Hei"/>
        <family val="2"/>
      </rPr>
      <t xml:space="preserve">区间</t>
    </r>
    <r>
      <rPr>
        <sz val="9"/>
        <color rgb="FF203040"/>
        <rFont val="Arial"/>
        <family val="0"/>
        <charset val="1"/>
      </rPr>
      <t xml:space="preserve">)</t>
    </r>
    <r>
      <rPr>
        <sz val="9"/>
        <color rgb="FF203040"/>
        <rFont val="WenQuanYi Zen Hei"/>
        <family val="2"/>
      </rPr>
      <t xml:space="preserve">，冷藏</t>
    </r>
    <r>
      <rPr>
        <sz val="9"/>
        <color rgb="FF203040"/>
        <rFont val="Arial"/>
        <family val="0"/>
        <charset val="1"/>
      </rPr>
      <t xml:space="preserve">/</t>
    </r>
    <r>
      <rPr>
        <sz val="9"/>
        <color rgb="FF203040"/>
        <rFont val="WenQuanYi Zen Hei"/>
        <family val="2"/>
      </rPr>
      <t xml:space="preserve">冷冻</t>
    </r>
    <r>
      <rPr>
        <sz val="9"/>
        <color rgb="FF203040"/>
        <rFont val="Arial"/>
        <family val="0"/>
        <charset val="1"/>
      </rPr>
      <t xml:space="preserve">/</t>
    </r>
    <r>
      <rPr>
        <sz val="9"/>
        <color rgb="FF203040"/>
        <rFont val="WenQuanYi Zen Hei"/>
        <family val="2"/>
      </rPr>
      <t xml:space="preserve">油温</t>
    </r>
    <r>
      <rPr>
        <sz val="9"/>
        <color rgb="FF203040"/>
        <rFont val="Arial"/>
        <family val="0"/>
        <charset val="1"/>
      </rPr>
      <t xml:space="preserve">/</t>
    </r>
    <r>
      <rPr>
        <sz val="9"/>
        <color rgb="FF203040"/>
        <rFont val="WenQuanYi Zen Hei"/>
        <family val="2"/>
      </rPr>
      <t xml:space="preserve">熟食中心温度</t>
    </r>
  </si>
  <si>
    <t xml:space="preserve">次</t>
  </si>
  <si>
    <r>
      <rPr>
        <sz val="9"/>
        <color rgb="FF203040"/>
        <rFont val="Arial"/>
        <family val="0"/>
        <charset val="1"/>
      </rPr>
      <t xml:space="preserve">SUM(</t>
    </r>
    <r>
      <rPr>
        <sz val="9"/>
        <color rgb="FF203040"/>
        <rFont val="WenQuanYi Zen Hei"/>
        <family val="2"/>
      </rPr>
      <t xml:space="preserve">修复时间 </t>
    </r>
    <r>
      <rPr>
        <sz val="9"/>
        <color rgb="FF203040"/>
        <rFont val="Arial"/>
        <family val="0"/>
        <charset val="1"/>
      </rPr>
      <t xml:space="preserve">- </t>
    </r>
    <r>
      <rPr>
        <sz val="9"/>
        <color rgb="FF203040"/>
        <rFont val="WenQuanYi Zen Hei"/>
        <family val="2"/>
      </rPr>
      <t xml:space="preserve">报障时间</t>
    </r>
    <r>
      <rPr>
        <sz val="9"/>
        <color rgb="FF203040"/>
        <rFont val="Arial"/>
        <family val="0"/>
        <charset val="1"/>
      </rPr>
      <t xml:space="preserve">)</t>
    </r>
    <r>
      <rPr>
        <sz val="9"/>
        <color rgb="FF203040"/>
        <rFont val="WenQuanYi Zen Hei"/>
        <family val="2"/>
      </rPr>
      <t xml:space="preserve">，仅影响出品的关键设备</t>
    </r>
  </si>
  <si>
    <r>
      <rPr>
        <sz val="9"/>
        <color rgb="FF203040"/>
        <rFont val="WenQuanYi Zen Hei"/>
        <family val="2"/>
      </rPr>
      <t xml:space="preserve">开店</t>
    </r>
    <r>
      <rPr>
        <sz val="9"/>
        <color rgb="FF203040"/>
        <rFont val="Arial"/>
        <family val="0"/>
        <charset val="1"/>
      </rPr>
      <t xml:space="preserve">/</t>
    </r>
    <r>
      <rPr>
        <sz val="9"/>
        <color rgb="FF203040"/>
        <rFont val="WenQuanYi Zen Hei"/>
        <family val="2"/>
      </rPr>
      <t xml:space="preserve">交接班</t>
    </r>
    <r>
      <rPr>
        <sz val="9"/>
        <color rgb="FF203040"/>
        <rFont val="Arial"/>
        <family val="0"/>
        <charset val="1"/>
      </rPr>
      <t xml:space="preserve">/</t>
    </r>
    <r>
      <rPr>
        <sz val="9"/>
        <color rgb="FF203040"/>
        <rFont val="WenQuanYi Zen Hei"/>
        <family val="2"/>
      </rPr>
      <t xml:space="preserve">闭店三次 </t>
    </r>
    <r>
      <rPr>
        <sz val="9"/>
        <color rgb="FF203040"/>
        <rFont val="Arial"/>
        <family val="0"/>
        <charset val="1"/>
      </rPr>
      <t xml:space="preserve">checklist </t>
    </r>
    <r>
      <rPr>
        <sz val="9"/>
        <color rgb="FF203040"/>
        <rFont val="WenQuanYi Zen Hei"/>
        <family val="2"/>
      </rPr>
      <t xml:space="preserve">得分均值（满分</t>
    </r>
    <r>
      <rPr>
        <sz val="9"/>
        <color rgb="FF203040"/>
        <rFont val="Arial"/>
        <family val="0"/>
        <charset val="1"/>
      </rPr>
      <t xml:space="preserve">100</t>
    </r>
    <r>
      <rPr>
        <sz val="9"/>
        <color rgb="FF203040"/>
        <rFont val="WenQuanYi Zen Hei"/>
        <family val="2"/>
      </rPr>
      <t xml:space="preserve">）</t>
    </r>
  </si>
  <si>
    <r>
      <rPr>
        <sz val="9"/>
        <color rgb="FF203040"/>
        <rFont val="WenQuanYi Zen Hei"/>
        <family val="2"/>
      </rPr>
      <t xml:space="preserve">超过保温柜时限被丢弃的批次 </t>
    </r>
    <r>
      <rPr>
        <sz val="9"/>
        <color rgb="FF203040"/>
        <rFont val="Arial"/>
        <family val="0"/>
        <charset val="1"/>
      </rPr>
      <t xml:space="preserve">/ </t>
    </r>
    <r>
      <rPr>
        <sz val="9"/>
        <color rgb="FF203040"/>
        <rFont val="WenQuanYi Zen Hei"/>
        <family val="2"/>
      </rPr>
      <t xml:space="preserve">总批次 </t>
    </r>
    <r>
      <rPr>
        <sz val="9"/>
        <color rgb="FF203040"/>
        <rFont val="Arial"/>
        <family val="0"/>
        <charset val="1"/>
      </rPr>
      <t xml:space="preserve">* 100</t>
    </r>
  </si>
  <si>
    <r>
      <rPr>
        <sz val="9"/>
        <color rgb="FF203040"/>
        <rFont val="WenQuanYi Zen Hei"/>
        <family val="2"/>
      </rPr>
      <t xml:space="preserve">实际到岗人次 </t>
    </r>
    <r>
      <rPr>
        <sz val="9"/>
        <color rgb="FF203040"/>
        <rFont val="Arial"/>
        <family val="0"/>
        <charset val="1"/>
      </rPr>
      <t xml:space="preserve">/ </t>
    </r>
    <r>
      <rPr>
        <sz val="9"/>
        <color rgb="FF203040"/>
        <rFont val="WenQuanYi Zen Hei"/>
        <family val="2"/>
      </rPr>
      <t xml:space="preserve">排班人次 </t>
    </r>
    <r>
      <rPr>
        <sz val="9"/>
        <color rgb="FF203040"/>
        <rFont val="Arial"/>
        <family val="0"/>
        <charset val="1"/>
      </rPr>
      <t xml:space="preserve">* 100</t>
    </r>
  </si>
  <si>
    <r>
      <rPr>
        <sz val="9"/>
        <color rgb="FF203040"/>
        <rFont val="WenQuanYi Zen Hei"/>
        <family val="2"/>
      </rPr>
      <t xml:space="preserve">近</t>
    </r>
    <r>
      <rPr>
        <sz val="9"/>
        <color rgb="FF203040"/>
        <rFont val="Arial"/>
        <family val="0"/>
        <charset val="1"/>
      </rPr>
      <t xml:space="preserve">30</t>
    </r>
    <r>
      <rPr>
        <sz val="9"/>
        <color rgb="FF203040"/>
        <rFont val="WenQuanYi Zen Hei"/>
        <family val="2"/>
      </rPr>
      <t xml:space="preserve">日离职人数 </t>
    </r>
    <r>
      <rPr>
        <sz val="9"/>
        <color rgb="FF203040"/>
        <rFont val="Arial"/>
        <family val="0"/>
        <charset val="1"/>
      </rPr>
      <t xml:space="preserve">/ </t>
    </r>
    <r>
      <rPr>
        <sz val="9"/>
        <color rgb="FF203040"/>
        <rFont val="WenQuanYi Zen Hei"/>
        <family val="2"/>
      </rPr>
      <t xml:space="preserve">期初在册人数 </t>
    </r>
    <r>
      <rPr>
        <sz val="9"/>
        <color rgb="FF203040"/>
        <rFont val="Arial"/>
        <family val="0"/>
        <charset val="1"/>
      </rPr>
      <t xml:space="preserve">* 100</t>
    </r>
  </si>
  <si>
    <r>
      <rPr>
        <sz val="9"/>
        <color rgb="FF203040"/>
        <rFont val="WenQuanYi Zen Hei"/>
        <family val="2"/>
      </rPr>
      <t xml:space="preserve">打卡晚于班次开始 </t>
    </r>
    <r>
      <rPr>
        <sz val="9"/>
        <color rgb="FF203040"/>
        <rFont val="Arial"/>
        <family val="0"/>
        <charset val="1"/>
      </rPr>
      <t xml:space="preserve">5 </t>
    </r>
    <r>
      <rPr>
        <sz val="9"/>
        <color rgb="FF203040"/>
        <rFont val="WenQuanYi Zen Hei"/>
        <family val="2"/>
      </rPr>
      <t xml:space="preserve">分钟以上的人次 </t>
    </r>
    <r>
      <rPr>
        <sz val="9"/>
        <color rgb="FF203040"/>
        <rFont val="Arial"/>
        <family val="0"/>
        <charset val="1"/>
      </rPr>
      <t xml:space="preserve">/ </t>
    </r>
    <r>
      <rPr>
        <sz val="9"/>
        <color rgb="FF203040"/>
        <rFont val="WenQuanYi Zen Hei"/>
        <family val="2"/>
      </rPr>
      <t xml:space="preserve">到岗人次 </t>
    </r>
    <r>
      <rPr>
        <sz val="9"/>
        <color rgb="FF203040"/>
        <rFont val="Arial"/>
        <family val="0"/>
        <charset val="1"/>
      </rPr>
      <t xml:space="preserve">* 100</t>
    </r>
  </si>
  <si>
    <r>
      <rPr>
        <sz val="9"/>
        <color rgb="FF203040"/>
        <rFont val="WenQuanYi Zen Hei"/>
        <family val="2"/>
      </rPr>
      <t xml:space="preserve">当班已认证人次 </t>
    </r>
    <r>
      <rPr>
        <sz val="9"/>
        <color rgb="FF203040"/>
        <rFont val="Arial"/>
        <family val="0"/>
        <charset val="1"/>
      </rPr>
      <t xml:space="preserve">/ </t>
    </r>
    <r>
      <rPr>
        <sz val="9"/>
        <color rgb="FF203040"/>
        <rFont val="WenQuanYi Zen Hei"/>
        <family val="2"/>
      </rPr>
      <t xml:space="preserve">当班总人次 </t>
    </r>
    <r>
      <rPr>
        <sz val="9"/>
        <color rgb="FF203040"/>
        <rFont val="Arial"/>
        <family val="0"/>
        <charset val="1"/>
      </rPr>
      <t xml:space="preserve">* 100</t>
    </r>
    <r>
      <rPr>
        <sz val="9"/>
        <color rgb="FF203040"/>
        <rFont val="WenQuanYi Zen Hei"/>
        <family val="2"/>
      </rPr>
      <t xml:space="preserve">（按所站岗位）</t>
    </r>
  </si>
  <si>
    <r>
      <rPr>
        <sz val="9"/>
        <color rgb="FF203040"/>
        <rFont val="WenQuanYi Zen Hei"/>
        <family val="2"/>
      </rPr>
      <t xml:space="preserve">投诉件数 </t>
    </r>
    <r>
      <rPr>
        <sz val="9"/>
        <color rgb="FF203040"/>
        <rFont val="Arial"/>
        <family val="0"/>
        <charset val="1"/>
      </rPr>
      <t xml:space="preserve">/ </t>
    </r>
    <r>
      <rPr>
        <sz val="9"/>
        <color rgb="FF203040"/>
        <rFont val="WenQuanYi Zen Hei"/>
        <family val="2"/>
      </rPr>
      <t xml:space="preserve">交易笔数 </t>
    </r>
    <r>
      <rPr>
        <sz val="9"/>
        <color rgb="FF203040"/>
        <rFont val="Arial"/>
        <family val="0"/>
        <charset val="1"/>
      </rPr>
      <t xml:space="preserve">* 1000</t>
    </r>
  </si>
  <si>
    <r>
      <rPr>
        <sz val="9"/>
        <color rgb="FF203040"/>
        <rFont val="WenQuanYi Zen Hei"/>
        <family val="2"/>
      </rPr>
      <t xml:space="preserve">件</t>
    </r>
    <r>
      <rPr>
        <sz val="9"/>
        <color rgb="FF203040"/>
        <rFont val="Arial"/>
        <family val="0"/>
        <charset val="1"/>
      </rPr>
      <t xml:space="preserve">/</t>
    </r>
    <r>
      <rPr>
        <sz val="9"/>
        <color rgb="FF203040"/>
        <rFont val="WenQuanYi Zen Hei"/>
        <family val="2"/>
      </rPr>
      <t xml:space="preserve">千单</t>
    </r>
  </si>
  <si>
    <r>
      <rPr>
        <sz val="9"/>
        <color rgb="FF203040"/>
        <rFont val="WenQuanYi Zen Hei"/>
        <family val="2"/>
      </rPr>
      <t xml:space="preserve">小票调研 </t>
    </r>
    <r>
      <rPr>
        <sz val="9"/>
        <color rgb="FF203040"/>
        <rFont val="Arial"/>
        <family val="0"/>
        <charset val="1"/>
      </rPr>
      <t xml:space="preserve">5 </t>
    </r>
    <r>
      <rPr>
        <sz val="9"/>
        <color rgb="FF203040"/>
        <rFont val="WenQuanYi Zen Hei"/>
        <family val="2"/>
      </rPr>
      <t xml:space="preserve">分制均值 </t>
    </r>
    <r>
      <rPr>
        <sz val="9"/>
        <color rgb="FF203040"/>
        <rFont val="Arial"/>
        <family val="0"/>
        <charset val="1"/>
      </rPr>
      <t xml:space="preserve">* 20 </t>
    </r>
    <r>
      <rPr>
        <sz val="9"/>
        <color rgb="FF203040"/>
        <rFont val="WenQuanYi Zen Hei"/>
        <family val="2"/>
      </rPr>
      <t xml:space="preserve">归一到百分制</t>
    </r>
  </si>
  <si>
    <r>
      <rPr>
        <sz val="9"/>
        <color rgb="FF203040"/>
        <rFont val="WenQuanYi Zen Hei"/>
        <family val="2"/>
      </rPr>
      <t xml:space="preserve">美团</t>
    </r>
    <r>
      <rPr>
        <sz val="9"/>
        <color rgb="FF203040"/>
        <rFont val="Arial"/>
        <family val="0"/>
        <charset val="1"/>
      </rPr>
      <t xml:space="preserve">/</t>
    </r>
    <r>
      <rPr>
        <sz val="9"/>
        <color rgb="FF203040"/>
        <rFont val="WenQuanYi Zen Hei"/>
        <family val="2"/>
      </rPr>
      <t xml:space="preserve">饿了么门店评分加权均值（</t>
    </r>
    <r>
      <rPr>
        <sz val="9"/>
        <color rgb="FF203040"/>
        <rFont val="Arial"/>
        <family val="0"/>
        <charset val="1"/>
      </rPr>
      <t xml:space="preserve">5 </t>
    </r>
    <r>
      <rPr>
        <sz val="9"/>
        <color rgb="FF203040"/>
        <rFont val="WenQuanYi Zen Hei"/>
        <family val="2"/>
      </rPr>
      <t xml:space="preserve">分制）</t>
    </r>
  </si>
  <si>
    <r>
      <rPr>
        <i val="true"/>
        <sz val="8.5"/>
        <color rgb="FF6B7280"/>
        <rFont val="WenQuanYi Zen Hei"/>
        <family val="2"/>
      </rPr>
      <t xml:space="preserve">影响度 </t>
    </r>
    <r>
      <rPr>
        <i val="true"/>
        <sz val="8.5"/>
        <color rgb="FF6B7280"/>
        <rFont val="Arial"/>
        <family val="0"/>
        <charset val="1"/>
      </rPr>
      <t xml:space="preserve">= </t>
    </r>
    <r>
      <rPr>
        <i val="true"/>
        <sz val="8.5"/>
        <color rgb="FF6B7280"/>
        <rFont val="WenQuanYi Zen Hei"/>
        <family val="2"/>
      </rPr>
      <t xml:space="preserve">这个指标动一动对生意和顾客的影响有多大；可控度 </t>
    </r>
    <r>
      <rPr>
        <i val="true"/>
        <sz val="8.5"/>
        <color rgb="FF6B7280"/>
        <rFont val="Arial"/>
        <family val="0"/>
        <charset val="1"/>
      </rPr>
      <t xml:space="preserve">= </t>
    </r>
    <r>
      <rPr>
        <i val="true"/>
        <sz val="8.5"/>
        <color rgb="FF6B7280"/>
        <rFont val="WenQuanYi Zen Hei"/>
        <family val="2"/>
      </rPr>
      <t xml:space="preserve">店长今天真的能改变它多少。两者都是门店层面的常识判断，不是算出来的——原材料涨价推高的食品成本率，影响度高但可控度低，硬压只会逼出偷工减料。优先级矩阵用它们分四象限。</t>
    </r>
  </si>
  <si>
    <r>
      <rPr>
        <i val="true"/>
        <sz val="8.5"/>
        <color rgb="FF6B7280"/>
        <rFont val="WenQuanYi Zen Hei"/>
        <family val="2"/>
      </rPr>
      <t xml:space="preserve">口径说明：百分比一律以分数存储（</t>
    </r>
    <r>
      <rPr>
        <i val="true"/>
        <sz val="8.5"/>
        <color rgb="FF6B7280"/>
        <rFont val="Arial"/>
        <family val="0"/>
        <charset val="1"/>
      </rPr>
      <t xml:space="preserve">0.312 </t>
    </r>
    <r>
      <rPr>
        <i val="true"/>
        <sz val="8.5"/>
        <color rgb="FF6B7280"/>
        <rFont val="WenQuanYi Zen Hei"/>
        <family val="2"/>
      </rPr>
      <t xml:space="preserve">显示为 </t>
    </r>
    <r>
      <rPr>
        <i val="true"/>
        <sz val="8.5"/>
        <color rgb="FF6B7280"/>
        <rFont val="Arial"/>
        <family val="0"/>
        <charset val="1"/>
      </rPr>
      <t xml:space="preserve">31.2%</t>
    </r>
    <r>
      <rPr>
        <i val="true"/>
        <sz val="8.5"/>
        <color rgb="FF6B7280"/>
        <rFont val="WenQuanYi Zen Hei"/>
        <family val="2"/>
      </rPr>
      <t xml:space="preserve">）。废弃率、食品成本率、千单投诉数采用「全店分母」口径（可加，用于归因）；人工成本率、</t>
    </r>
    <r>
      <rPr>
        <i val="true"/>
        <sz val="8.5"/>
        <color rgb="FF6B7280"/>
        <rFont val="Arial"/>
        <family val="0"/>
        <charset val="1"/>
      </rPr>
      <t xml:space="preserve">SPLH</t>
    </r>
    <r>
      <rPr>
        <i val="true"/>
        <sz val="8.5"/>
        <color rgb="FF6B7280"/>
        <rFont val="WenQuanYi Zen Hei"/>
        <family val="2"/>
      </rPr>
      <t xml:space="preserve">、速度类采用「切片分母」口径（各块自己的体检值）。详见 </t>
    </r>
    <r>
      <rPr>
        <i val="true"/>
        <sz val="8.5"/>
        <color rgb="FF6B7280"/>
        <rFont val="Arial"/>
        <family val="0"/>
        <charset val="1"/>
      </rPr>
      <t xml:space="preserve">docs/03</t>
    </r>
    <r>
      <rPr>
        <i val="true"/>
        <sz val="8.5"/>
        <color rgb="FF6B7280"/>
        <rFont val="WenQuanYi Zen Hei"/>
        <family val="2"/>
      </rPr>
      <t xml:space="preserve">。</t>
    </r>
  </si>
  <si>
    <r>
      <rPr>
        <b val="true"/>
        <sz val="16"/>
        <color rgb="FFFFFFFF"/>
        <rFont val="WenQuanYi Zen Hei"/>
        <family val="2"/>
      </rPr>
      <t xml:space="preserve">数据字典 </t>
    </r>
    <r>
      <rPr>
        <b val="true"/>
        <sz val="16"/>
        <color rgb="FFFFFFFF"/>
        <rFont val="Arial"/>
        <family val="0"/>
        <charset val="1"/>
      </rPr>
      <t xml:space="preserve">· Source Tables</t>
    </r>
  </si>
  <si>
    <r>
      <rPr>
        <sz val="9"/>
        <color rgb="FF7A1F1A"/>
        <rFont val="WenQuanYi Zen Hei"/>
        <family val="2"/>
      </rPr>
      <t xml:space="preserve">一家门店每天真正在用的 </t>
    </r>
    <r>
      <rPr>
        <sz val="9"/>
        <color rgb="FF7A1F1A"/>
        <rFont val="Arial"/>
        <family val="0"/>
        <charset val="1"/>
      </rPr>
      <t xml:space="preserve">30 </t>
    </r>
    <r>
      <rPr>
        <sz val="9"/>
        <color rgb="FF7A1F1A"/>
        <rFont val="WenQuanYi Zen Hei"/>
        <family val="2"/>
      </rPr>
      <t xml:space="preserve">张表。现实是它们分散在 </t>
    </r>
    <r>
      <rPr>
        <sz val="9"/>
        <color rgb="FF7A1F1A"/>
        <rFont val="Arial"/>
        <family val="0"/>
        <charset val="1"/>
      </rPr>
      <t xml:space="preserve">6~8 </t>
    </r>
    <r>
      <rPr>
        <sz val="9"/>
        <color rgb="FF7A1F1A"/>
        <rFont val="WenQuanYi Zen Hei"/>
        <family val="2"/>
      </rPr>
      <t xml:space="preserve">个互不相通的系统里；把它们对齐到同一个 </t>
    </r>
    <r>
      <rPr>
        <sz val="9"/>
        <color rgb="FF7A1F1A"/>
        <rFont val="Arial"/>
        <family val="0"/>
        <charset val="1"/>
      </rPr>
      <t xml:space="preserve">store_id + </t>
    </r>
    <r>
      <rPr>
        <sz val="9"/>
        <color rgb="FF7A1F1A"/>
        <rFont val="WenQuanYi Zen Hei"/>
        <family val="2"/>
      </rPr>
      <t xml:space="preserve">营业日，是做任何报表的前提，也是最容易出错的地方（跨零点的夜宵单算哪一天）。</t>
    </r>
  </si>
  <si>
    <t xml:space="preserve">表名</t>
  </si>
  <si>
    <t xml:space="preserve">中文名</t>
  </si>
  <si>
    <t xml:space="preserve">业务域</t>
  </si>
  <si>
    <t xml:space="preserve">层级</t>
  </si>
  <si>
    <t xml:space="preserve">来源系统</t>
  </si>
  <si>
    <t xml:space="preserve">粒度</t>
  </si>
  <si>
    <t xml:space="preserve">刷新频率</t>
  </si>
  <si>
    <t xml:space="preserve">日增行数</t>
  </si>
  <si>
    <t xml:space="preserve">为什么需要它</t>
  </si>
  <si>
    <t xml:space="preserve">fct_pos_transaction</t>
  </si>
  <si>
    <r>
      <rPr>
        <sz val="9"/>
        <color rgb="FF203040"/>
        <rFont val="Arial"/>
        <family val="0"/>
        <charset val="1"/>
      </rPr>
      <t xml:space="preserve">POS </t>
    </r>
    <r>
      <rPr>
        <sz val="9"/>
        <color rgb="FF203040"/>
        <rFont val="WenQuanYi Zen Hei"/>
        <family val="2"/>
      </rPr>
      <t xml:space="preserve">订单头</t>
    </r>
  </si>
  <si>
    <t xml:space="preserve">交易</t>
  </si>
  <si>
    <t xml:space="preserve">fct</t>
  </si>
  <si>
    <r>
      <rPr>
        <sz val="9"/>
        <color rgb="FF203040"/>
        <rFont val="Arial"/>
        <family val="0"/>
        <charset val="1"/>
      </rPr>
      <t xml:space="preserve">POS </t>
    </r>
    <r>
      <rPr>
        <sz val="9"/>
        <color rgb="FF203040"/>
        <rFont val="WenQuanYi Zen Hei"/>
        <family val="2"/>
      </rPr>
      <t xml:space="preserve">收银系统</t>
    </r>
  </si>
  <si>
    <r>
      <rPr>
        <sz val="9"/>
        <color rgb="FF203040"/>
        <rFont val="Arial"/>
        <family val="0"/>
        <charset val="1"/>
      </rPr>
      <t xml:space="preserve">1 </t>
    </r>
    <r>
      <rPr>
        <sz val="9"/>
        <color rgb="FF203040"/>
        <rFont val="WenQuanYi Zen Hei"/>
        <family val="2"/>
      </rPr>
      <t xml:space="preserve">行 </t>
    </r>
    <r>
      <rPr>
        <sz val="9"/>
        <color rgb="FF203040"/>
        <rFont val="Arial"/>
        <family val="0"/>
        <charset val="1"/>
      </rPr>
      <t xml:space="preserve">= 1 </t>
    </r>
    <r>
      <rPr>
        <sz val="9"/>
        <color rgb="FF203040"/>
        <rFont val="WenQuanYi Zen Hei"/>
        <family val="2"/>
      </rPr>
      <t xml:space="preserve">张订单</t>
    </r>
  </si>
  <si>
    <r>
      <rPr>
        <sz val="9"/>
        <color rgb="FF203040"/>
        <rFont val="WenQuanYi Zen Hei"/>
        <family val="2"/>
      </rPr>
      <t xml:space="preserve">近实时（</t>
    </r>
    <r>
      <rPr>
        <sz val="9"/>
        <color rgb="FF203040"/>
        <rFont val="Arial"/>
        <family val="0"/>
        <charset val="1"/>
      </rPr>
      <t xml:space="preserve">15 </t>
    </r>
    <r>
      <rPr>
        <sz val="9"/>
        <color rgb="FF203040"/>
        <rFont val="WenQuanYi Zen Hei"/>
        <family val="2"/>
      </rPr>
      <t xml:space="preserve">分钟增量）</t>
    </r>
  </si>
  <si>
    <t xml:space="preserve">1500 ~ 3000</t>
  </si>
  <si>
    <t xml:space="preserve">所有生意类指标的地基：销售、交易笔数、客单价、渠道结构、时段曲线</t>
  </si>
  <si>
    <t xml:space="preserve">fct_pos_line_item</t>
  </si>
  <si>
    <r>
      <rPr>
        <sz val="9"/>
        <color rgb="FF203040"/>
        <rFont val="Arial"/>
        <family val="0"/>
        <charset val="1"/>
      </rPr>
      <t xml:space="preserve">POS </t>
    </r>
    <r>
      <rPr>
        <sz val="9"/>
        <color rgb="FF203040"/>
        <rFont val="WenQuanYi Zen Hei"/>
        <family val="2"/>
      </rPr>
      <t xml:space="preserve">订单行</t>
    </r>
  </si>
  <si>
    <r>
      <rPr>
        <sz val="9"/>
        <color rgb="FF203040"/>
        <rFont val="Arial"/>
        <family val="0"/>
        <charset val="1"/>
      </rPr>
      <t xml:space="preserve">1 </t>
    </r>
    <r>
      <rPr>
        <sz val="9"/>
        <color rgb="FF203040"/>
        <rFont val="WenQuanYi Zen Hei"/>
        <family val="2"/>
      </rPr>
      <t xml:space="preserve">行 </t>
    </r>
    <r>
      <rPr>
        <sz val="9"/>
        <color rgb="FF203040"/>
        <rFont val="Arial"/>
        <family val="0"/>
        <charset val="1"/>
      </rPr>
      <t xml:space="preserve">= </t>
    </r>
    <r>
      <rPr>
        <sz val="9"/>
        <color rgb="FF203040"/>
        <rFont val="WenQuanYi Zen Hei"/>
        <family val="2"/>
      </rPr>
      <t xml:space="preserve">订单里的 </t>
    </r>
    <r>
      <rPr>
        <sz val="9"/>
        <color rgb="FF203040"/>
        <rFont val="Arial"/>
        <family val="0"/>
        <charset val="1"/>
      </rPr>
      <t xml:space="preserve">1 </t>
    </r>
    <r>
      <rPr>
        <sz val="9"/>
        <color rgb="FF203040"/>
        <rFont val="WenQuanYi Zen Hei"/>
        <family val="2"/>
      </rPr>
      <t xml:space="preserve">个商品</t>
    </r>
  </si>
  <si>
    <t xml:space="preserve">近实时</t>
  </si>
  <si>
    <t xml:space="preserve">5000 ~ 10000</t>
  </si>
  <si>
    <t xml:space="preserve">品类结构、单均件数、附加销售、理论食品成本都只能从这里算</t>
  </si>
  <si>
    <t xml:space="preserve">fct_payment</t>
  </si>
  <si>
    <t xml:space="preserve">支付明细</t>
  </si>
  <si>
    <r>
      <rPr>
        <sz val="9"/>
        <color rgb="FF203040"/>
        <rFont val="Arial"/>
        <family val="0"/>
        <charset val="1"/>
      </rPr>
      <t xml:space="preserve">POS / </t>
    </r>
    <r>
      <rPr>
        <sz val="9"/>
        <color rgb="FF203040"/>
        <rFont val="WenQuanYi Zen Hei"/>
        <family val="2"/>
      </rPr>
      <t xml:space="preserve">聚合支付</t>
    </r>
  </si>
  <si>
    <r>
      <rPr>
        <sz val="9"/>
        <color rgb="FF203040"/>
        <rFont val="Arial"/>
        <family val="0"/>
        <charset val="1"/>
      </rPr>
      <t xml:space="preserve">1 </t>
    </r>
    <r>
      <rPr>
        <sz val="9"/>
        <color rgb="FF203040"/>
        <rFont val="WenQuanYi Zen Hei"/>
        <family val="2"/>
      </rPr>
      <t xml:space="preserve">行 </t>
    </r>
    <r>
      <rPr>
        <sz val="9"/>
        <color rgb="FF203040"/>
        <rFont val="Arial"/>
        <family val="0"/>
        <charset val="1"/>
      </rPr>
      <t xml:space="preserve">= 1 </t>
    </r>
    <r>
      <rPr>
        <sz val="9"/>
        <color rgb="FF203040"/>
        <rFont val="WenQuanYi Zen Hei"/>
        <family val="2"/>
      </rPr>
      <t xml:space="preserve">笔支付（一单可拆多笔）</t>
    </r>
  </si>
  <si>
    <t xml:space="preserve">1600 ~ 3200</t>
  </si>
  <si>
    <t xml:space="preserve">现金短溢、平台回款对账、支付渠道手续费</t>
  </si>
  <si>
    <t xml:space="preserve">dim_product</t>
  </si>
  <si>
    <t xml:space="preserve">商品主数据</t>
  </si>
  <si>
    <t xml:space="preserve">dim</t>
  </si>
  <si>
    <t xml:space="preserve">总部主数据</t>
  </si>
  <si>
    <r>
      <rPr>
        <sz val="9"/>
        <color rgb="FF203040"/>
        <rFont val="Arial"/>
        <family val="0"/>
        <charset val="1"/>
      </rPr>
      <t xml:space="preserve">1 </t>
    </r>
    <r>
      <rPr>
        <sz val="9"/>
        <color rgb="FF203040"/>
        <rFont val="WenQuanYi Zen Hei"/>
        <family val="2"/>
      </rPr>
      <t xml:space="preserve">行 </t>
    </r>
    <r>
      <rPr>
        <sz val="9"/>
        <color rgb="FF203040"/>
        <rFont val="Arial"/>
        <family val="0"/>
        <charset val="1"/>
      </rPr>
      <t xml:space="preserve">= 1 </t>
    </r>
    <r>
      <rPr>
        <sz val="9"/>
        <color rgb="FF203040"/>
        <rFont val="WenQuanYi Zen Hei"/>
        <family val="2"/>
      </rPr>
      <t xml:space="preserve">个 </t>
    </r>
    <r>
      <rPr>
        <sz val="9"/>
        <color rgb="FF203040"/>
        <rFont val="Arial"/>
        <family val="0"/>
        <charset val="1"/>
      </rPr>
      <t xml:space="preserve">SKU </t>
    </r>
    <r>
      <rPr>
        <sz val="9"/>
        <color rgb="FF203040"/>
        <rFont val="WenQuanYi Zen Hei"/>
        <family val="2"/>
      </rPr>
      <t xml:space="preserve">的 </t>
    </r>
    <r>
      <rPr>
        <sz val="9"/>
        <color rgb="FF203040"/>
        <rFont val="Arial"/>
        <family val="0"/>
        <charset val="1"/>
      </rPr>
      <t xml:space="preserve">1 </t>
    </r>
    <r>
      <rPr>
        <sz val="9"/>
        <color rgb="FF203040"/>
        <rFont val="WenQuanYi Zen Hei"/>
        <family val="2"/>
      </rPr>
      <t xml:space="preserve">个生效版本</t>
    </r>
  </si>
  <si>
    <t xml:space="preserve">总部下发，周级</t>
  </si>
  <si>
    <r>
      <rPr>
        <sz val="9"/>
        <color rgb="FF203040"/>
        <rFont val="WenQuanYi Zen Hei"/>
        <family val="2"/>
      </rPr>
      <t xml:space="preserve">—（约 </t>
    </r>
    <r>
      <rPr>
        <sz val="9"/>
        <color rgb="FF203040"/>
        <rFont val="Arial"/>
        <family val="0"/>
        <charset val="1"/>
      </rPr>
      <t xml:space="preserve">300 </t>
    </r>
    <r>
      <rPr>
        <sz val="9"/>
        <color rgb="FF203040"/>
        <rFont val="WenQuanYi Zen Hei"/>
        <family val="2"/>
      </rPr>
      <t xml:space="preserve">个在售 </t>
    </r>
    <r>
      <rPr>
        <sz val="9"/>
        <color rgb="FF203040"/>
        <rFont val="Arial"/>
        <family val="0"/>
        <charset val="1"/>
      </rPr>
      <t xml:space="preserve">SKU</t>
    </r>
    <r>
      <rPr>
        <sz val="9"/>
        <color rgb="FF203040"/>
        <rFont val="WenQuanYi Zen Hei"/>
        <family val="2"/>
      </rPr>
      <t xml:space="preserve">）</t>
    </r>
  </si>
  <si>
    <r>
      <rPr>
        <sz val="9"/>
        <color rgb="FF203040"/>
        <rFont val="WenQuanYi Zen Hei"/>
        <family val="2"/>
      </rPr>
      <t xml:space="preserve">标准成本 → 理论食品成本；有它才能把</t>
    </r>
    <r>
      <rPr>
        <sz val="9"/>
        <color rgb="FF203040"/>
        <rFont val="Arial"/>
        <family val="0"/>
        <charset val="1"/>
      </rPr>
      <t xml:space="preserve">'</t>
    </r>
    <r>
      <rPr>
        <sz val="9"/>
        <color rgb="FF203040"/>
        <rFont val="WenQuanYi Zen Hei"/>
        <family val="2"/>
      </rPr>
      <t xml:space="preserve">实际 </t>
    </r>
    <r>
      <rPr>
        <sz val="9"/>
        <color rgb="FF203040"/>
        <rFont val="Arial"/>
        <family val="0"/>
        <charset val="1"/>
      </rPr>
      <t xml:space="preserve">FC%'</t>
    </r>
    <r>
      <rPr>
        <sz val="9"/>
        <color rgb="FF203040"/>
        <rFont val="WenQuanYi Zen Hei"/>
        <family val="2"/>
      </rPr>
      <t xml:space="preserve">拆成</t>
    </r>
    <r>
      <rPr>
        <sz val="9"/>
        <color rgb="FF203040"/>
        <rFont val="Arial"/>
        <family val="0"/>
        <charset val="1"/>
      </rPr>
      <t xml:space="preserve">'</t>
    </r>
    <r>
      <rPr>
        <sz val="9"/>
        <color rgb="FF203040"/>
        <rFont val="WenQuanYi Zen Hei"/>
        <family val="2"/>
      </rPr>
      <t xml:space="preserve">理论差</t>
    </r>
    <r>
      <rPr>
        <sz val="9"/>
        <color rgb="FF203040"/>
        <rFont val="Arial"/>
        <family val="0"/>
        <charset val="1"/>
      </rPr>
      <t xml:space="preserve">'</t>
    </r>
    <r>
      <rPr>
        <sz val="9"/>
        <color rgb="FF203040"/>
        <rFont val="WenQuanYi Zen Hei"/>
        <family val="2"/>
      </rPr>
      <t xml:space="preserve">和</t>
    </r>
    <r>
      <rPr>
        <sz val="9"/>
        <color rgb="FF203040"/>
        <rFont val="Arial"/>
        <family val="0"/>
        <charset val="1"/>
      </rPr>
      <t xml:space="preserve">'</t>
    </r>
    <r>
      <rPr>
        <sz val="9"/>
        <color rgb="FF203040"/>
        <rFont val="WenQuanYi Zen Hei"/>
        <family val="2"/>
      </rPr>
      <t xml:space="preserve">损耗差</t>
    </r>
    <r>
      <rPr>
        <sz val="9"/>
        <color rgb="FF203040"/>
        <rFont val="Arial"/>
        <family val="0"/>
        <charset val="1"/>
      </rPr>
      <t xml:space="preserve">'</t>
    </r>
  </si>
  <si>
    <t xml:space="preserve">dim_promotion</t>
  </si>
  <si>
    <t xml:space="preserve">促销主数据</t>
  </si>
  <si>
    <t xml:space="preserve">总部营销</t>
  </si>
  <si>
    <r>
      <rPr>
        <sz val="9"/>
        <color rgb="FF203040"/>
        <rFont val="Arial"/>
        <family val="0"/>
        <charset val="1"/>
      </rPr>
      <t xml:space="preserve">1 </t>
    </r>
    <r>
      <rPr>
        <sz val="9"/>
        <color rgb="FF203040"/>
        <rFont val="WenQuanYi Zen Hei"/>
        <family val="2"/>
      </rPr>
      <t xml:space="preserve">行 </t>
    </r>
    <r>
      <rPr>
        <sz val="9"/>
        <color rgb="FF203040"/>
        <rFont val="Arial"/>
        <family val="0"/>
        <charset val="1"/>
      </rPr>
      <t xml:space="preserve">= 1 </t>
    </r>
    <r>
      <rPr>
        <sz val="9"/>
        <color rgb="FF203040"/>
        <rFont val="WenQuanYi Zen Hei"/>
        <family val="2"/>
      </rPr>
      <t xml:space="preserve">个活动</t>
    </r>
  </si>
  <si>
    <t xml:space="preserve">周级</t>
  </si>
  <si>
    <t xml:space="preserve">解释销售异动：涨了是活动还是本事，跌了是去年有活动今年没有</t>
  </si>
  <si>
    <t xml:space="preserve">fct_delivery_order</t>
  </si>
  <si>
    <t xml:space="preserve">外送订单</t>
  </si>
  <si>
    <t xml:space="preserve">数字与外送</t>
  </si>
  <si>
    <r>
      <rPr>
        <sz val="9"/>
        <color rgb="FF203040"/>
        <rFont val="WenQuanYi Zen Hei"/>
        <family val="2"/>
      </rPr>
      <t xml:space="preserve">美团</t>
    </r>
    <r>
      <rPr>
        <sz val="9"/>
        <color rgb="FF203040"/>
        <rFont val="Arial"/>
        <family val="0"/>
        <charset val="1"/>
      </rPr>
      <t xml:space="preserve">/</t>
    </r>
    <r>
      <rPr>
        <sz val="9"/>
        <color rgb="FF203040"/>
        <rFont val="WenQuanYi Zen Hei"/>
        <family val="2"/>
      </rPr>
      <t xml:space="preserve">饿了么</t>
    </r>
    <r>
      <rPr>
        <sz val="9"/>
        <color rgb="FF203040"/>
        <rFont val="Arial"/>
        <family val="0"/>
        <charset val="1"/>
      </rPr>
      <t xml:space="preserve">/</t>
    </r>
    <r>
      <rPr>
        <sz val="9"/>
        <color rgb="FF203040"/>
        <rFont val="WenQuanYi Zen Hei"/>
        <family val="2"/>
      </rPr>
      <t xml:space="preserve">麦乐送 中台</t>
    </r>
  </si>
  <si>
    <r>
      <rPr>
        <sz val="9"/>
        <color rgb="FF203040"/>
        <rFont val="Arial"/>
        <family val="0"/>
        <charset val="1"/>
      </rPr>
      <t xml:space="preserve">1 </t>
    </r>
    <r>
      <rPr>
        <sz val="9"/>
        <color rgb="FF203040"/>
        <rFont val="WenQuanYi Zen Hei"/>
        <family val="2"/>
      </rPr>
      <t xml:space="preserve">行 </t>
    </r>
    <r>
      <rPr>
        <sz val="9"/>
        <color rgb="FF203040"/>
        <rFont val="Arial"/>
        <family val="0"/>
        <charset val="1"/>
      </rPr>
      <t xml:space="preserve">= 1 </t>
    </r>
    <r>
      <rPr>
        <sz val="9"/>
        <color rgb="FF203040"/>
        <rFont val="WenQuanYi Zen Hei"/>
        <family val="2"/>
      </rPr>
      <t xml:space="preserve">张外送订单</t>
    </r>
  </si>
  <si>
    <t xml:space="preserve">300 ~ 800</t>
  </si>
  <si>
    <t xml:space="preserve">外送已是四分之一的生意，但它的时效、差错、评分和堂食完全不同源，必须单独看</t>
  </si>
  <si>
    <t xml:space="preserve">fct_kiosk_session</t>
  </si>
  <si>
    <t xml:space="preserve">自助点餐机会话</t>
  </si>
  <si>
    <t xml:space="preserve">点餐机后台</t>
  </si>
  <si>
    <r>
      <rPr>
        <sz val="9"/>
        <color rgb="FF203040"/>
        <rFont val="Arial"/>
        <family val="0"/>
        <charset val="1"/>
      </rPr>
      <t xml:space="preserve">1 </t>
    </r>
    <r>
      <rPr>
        <sz val="9"/>
        <color rgb="FF203040"/>
        <rFont val="WenQuanYi Zen Hei"/>
        <family val="2"/>
      </rPr>
      <t xml:space="preserve">行 </t>
    </r>
    <r>
      <rPr>
        <sz val="9"/>
        <color rgb="FF203040"/>
        <rFont val="Arial"/>
        <family val="0"/>
        <charset val="1"/>
      </rPr>
      <t xml:space="preserve">= 1 </t>
    </r>
    <r>
      <rPr>
        <sz val="9"/>
        <color rgb="FF203040"/>
        <rFont val="WenQuanYi Zen Hei"/>
        <family val="2"/>
      </rPr>
      <t xml:space="preserve">次触屏会话</t>
    </r>
  </si>
  <si>
    <t xml:space="preserve">日批</t>
  </si>
  <si>
    <t xml:space="preserve">500 ~ 1200</t>
  </si>
  <si>
    <r>
      <rPr>
        <sz val="9"/>
        <color rgb="FF203040"/>
        <rFont val="WenQuanYi Zen Hei"/>
        <family val="2"/>
      </rPr>
      <t xml:space="preserve">点餐机放弃率是隐形流失：屏幕坏了</t>
    </r>
    <r>
      <rPr>
        <sz val="9"/>
        <color rgb="FF203040"/>
        <rFont val="Arial"/>
        <family val="0"/>
        <charset val="1"/>
      </rPr>
      <t xml:space="preserve">/</t>
    </r>
    <r>
      <rPr>
        <sz val="9"/>
        <color rgb="FF203040"/>
        <rFont val="WenQuanYi Zen Hei"/>
        <family val="2"/>
      </rPr>
      <t xml:space="preserve">网络慢</t>
    </r>
    <r>
      <rPr>
        <sz val="9"/>
        <color rgb="FF203040"/>
        <rFont val="Arial"/>
        <family val="0"/>
        <charset val="1"/>
      </rPr>
      <t xml:space="preserve">/</t>
    </r>
    <r>
      <rPr>
        <sz val="9"/>
        <color rgb="FF203040"/>
        <rFont val="WenQuanYi Zen Hei"/>
        <family val="2"/>
      </rPr>
      <t xml:space="preserve">菜单卡顿，</t>
    </r>
    <r>
      <rPr>
        <sz val="9"/>
        <color rgb="FF203040"/>
        <rFont val="Arial"/>
        <family val="0"/>
        <charset val="1"/>
      </rPr>
      <t xml:space="preserve">POS </t>
    </r>
    <r>
      <rPr>
        <sz val="9"/>
        <color rgb="FF203040"/>
        <rFont val="WenQuanYi Zen Hei"/>
        <family val="2"/>
      </rPr>
      <t xml:space="preserve">上完全看不出来</t>
    </r>
  </si>
  <si>
    <t xml:space="preserve">fct_kds_order</t>
  </si>
  <si>
    <t xml:space="preserve">厨房显示系统订单</t>
  </si>
  <si>
    <t xml:space="preserve">出品时效</t>
  </si>
  <si>
    <t xml:space="preserve">KDS</t>
  </si>
  <si>
    <r>
      <rPr>
        <sz val="9"/>
        <color rgb="FF203040"/>
        <rFont val="Arial"/>
        <family val="0"/>
        <charset val="1"/>
      </rPr>
      <t xml:space="preserve">1 </t>
    </r>
    <r>
      <rPr>
        <sz val="9"/>
        <color rgb="FF203040"/>
        <rFont val="WenQuanYi Zen Hei"/>
        <family val="2"/>
      </rPr>
      <t xml:space="preserve">行 </t>
    </r>
    <r>
      <rPr>
        <sz val="9"/>
        <color rgb="FF203040"/>
        <rFont val="Arial"/>
        <family val="0"/>
        <charset val="1"/>
      </rPr>
      <t xml:space="preserve">= 1 </t>
    </r>
    <r>
      <rPr>
        <sz val="9"/>
        <color rgb="FF203040"/>
        <rFont val="WenQuanYi Zen Hei"/>
        <family val="2"/>
      </rPr>
      <t xml:space="preserve">张订单在 </t>
    </r>
    <r>
      <rPr>
        <sz val="9"/>
        <color rgb="FF203040"/>
        <rFont val="Arial"/>
        <family val="0"/>
        <charset val="1"/>
      </rPr>
      <t xml:space="preserve">1 </t>
    </r>
    <r>
      <rPr>
        <sz val="9"/>
        <color rgb="FF203040"/>
        <rFont val="WenQuanYi Zen Hei"/>
        <family val="2"/>
      </rPr>
      <t xml:space="preserve">个工作站的一段</t>
    </r>
  </si>
  <si>
    <t xml:space="preserve">2000 ~ 4000</t>
  </si>
  <si>
    <r>
      <rPr>
        <sz val="9"/>
        <color rgb="FF203040"/>
        <rFont val="WenQuanYi Zen Hei"/>
        <family val="2"/>
      </rPr>
      <t xml:space="preserve">把</t>
    </r>
    <r>
      <rPr>
        <sz val="9"/>
        <color rgb="FF203040"/>
        <rFont val="Arial"/>
        <family val="0"/>
        <charset val="1"/>
      </rPr>
      <t xml:space="preserve">'</t>
    </r>
    <r>
      <rPr>
        <sz val="9"/>
        <color rgb="FF203040"/>
        <rFont val="WenQuanYi Zen Hei"/>
        <family val="2"/>
      </rPr>
      <t xml:space="preserve">慢</t>
    </r>
    <r>
      <rPr>
        <sz val="9"/>
        <color rgb="FF203040"/>
        <rFont val="Arial"/>
        <family val="0"/>
        <charset val="1"/>
      </rPr>
      <t xml:space="preserve">'</t>
    </r>
    <r>
      <rPr>
        <sz val="9"/>
        <color rgb="FF203040"/>
        <rFont val="WenQuanYi Zen Hei"/>
        <family val="2"/>
      </rPr>
      <t xml:space="preserve">拆开：是点单慢、厨房慢、还是交付慢。没有 </t>
    </r>
    <r>
      <rPr>
        <sz val="9"/>
        <color rgb="FF203040"/>
        <rFont val="Arial"/>
        <family val="0"/>
        <charset val="1"/>
      </rPr>
      <t xml:space="preserve">KDS </t>
    </r>
    <r>
      <rPr>
        <sz val="9"/>
        <color rgb="FF203040"/>
        <rFont val="WenQuanYi Zen Hei"/>
        <family val="2"/>
      </rPr>
      <t xml:space="preserve">就只能靠感觉</t>
    </r>
  </si>
  <si>
    <t xml:space="preserve">fct_dt_timer</t>
  </si>
  <si>
    <t xml:space="preserve">得来速计时</t>
  </si>
  <si>
    <r>
      <rPr>
        <sz val="9"/>
        <color rgb="FF203040"/>
        <rFont val="Arial"/>
        <family val="0"/>
        <charset val="1"/>
      </rPr>
      <t xml:space="preserve">DT </t>
    </r>
    <r>
      <rPr>
        <sz val="9"/>
        <color rgb="FF203040"/>
        <rFont val="WenQuanYi Zen Hei"/>
        <family val="2"/>
      </rPr>
      <t xml:space="preserve">计时器（地感线圈 </t>
    </r>
    <r>
      <rPr>
        <sz val="9"/>
        <color rgb="FF203040"/>
        <rFont val="Arial"/>
        <family val="0"/>
        <charset val="1"/>
      </rPr>
      <t xml:space="preserve">+ </t>
    </r>
    <r>
      <rPr>
        <sz val="9"/>
        <color rgb="FF203040"/>
        <rFont val="WenQuanYi Zen Hei"/>
        <family val="2"/>
      </rPr>
      <t xml:space="preserve">计时主机）</t>
    </r>
  </si>
  <si>
    <r>
      <rPr>
        <sz val="9"/>
        <color rgb="FF203040"/>
        <rFont val="Arial"/>
        <family val="0"/>
        <charset val="1"/>
      </rPr>
      <t xml:space="preserve">1 </t>
    </r>
    <r>
      <rPr>
        <sz val="9"/>
        <color rgb="FF203040"/>
        <rFont val="WenQuanYi Zen Hei"/>
        <family val="2"/>
      </rPr>
      <t xml:space="preserve">行 </t>
    </r>
    <r>
      <rPr>
        <sz val="9"/>
        <color rgb="FF203040"/>
        <rFont val="Arial"/>
        <family val="0"/>
        <charset val="1"/>
      </rPr>
      <t xml:space="preserve">= 1 </t>
    </r>
    <r>
      <rPr>
        <sz val="9"/>
        <color rgb="FF203040"/>
        <rFont val="WenQuanYi Zen Hei"/>
        <family val="2"/>
      </rPr>
      <t xml:space="preserve">辆车的一次通过</t>
    </r>
  </si>
  <si>
    <t xml:space="preserve">300 ~ 700</t>
  </si>
  <si>
    <t xml:space="preserve">得来速是分段计时：菜单板→点单→缴费→取餐→离开，堵在哪一段，动作完全不同</t>
  </si>
  <si>
    <t xml:space="preserve">fct_order_issue</t>
  </si>
  <si>
    <t xml:space="preserve">订单差错与投诉</t>
  </si>
  <si>
    <r>
      <rPr>
        <sz val="9"/>
        <color rgb="FF203040"/>
        <rFont val="Arial"/>
        <family val="0"/>
        <charset val="1"/>
      </rPr>
      <t xml:space="preserve">POS </t>
    </r>
    <r>
      <rPr>
        <sz val="9"/>
        <color rgb="FF203040"/>
        <rFont val="WenQuanYi Zen Hei"/>
        <family val="2"/>
      </rPr>
      <t xml:space="preserve">退换 </t>
    </r>
    <r>
      <rPr>
        <sz val="9"/>
        <color rgb="FF203040"/>
        <rFont val="Arial"/>
        <family val="0"/>
        <charset val="1"/>
      </rPr>
      <t xml:space="preserve">+ </t>
    </r>
    <r>
      <rPr>
        <sz val="9"/>
        <color rgb="FF203040"/>
        <rFont val="WenQuanYi Zen Hei"/>
        <family val="2"/>
      </rPr>
      <t xml:space="preserve">客服工单 </t>
    </r>
    <r>
      <rPr>
        <sz val="9"/>
        <color rgb="FF203040"/>
        <rFont val="Arial"/>
        <family val="0"/>
        <charset val="1"/>
      </rPr>
      <t xml:space="preserve">+ </t>
    </r>
    <r>
      <rPr>
        <sz val="9"/>
        <color rgb="FF203040"/>
        <rFont val="WenQuanYi Zen Hei"/>
        <family val="2"/>
      </rPr>
      <t xml:space="preserve">平台售后</t>
    </r>
  </si>
  <si>
    <r>
      <rPr>
        <sz val="9"/>
        <color rgb="FF203040"/>
        <rFont val="Arial"/>
        <family val="0"/>
        <charset val="1"/>
      </rPr>
      <t xml:space="preserve">1 </t>
    </r>
    <r>
      <rPr>
        <sz val="9"/>
        <color rgb="FF203040"/>
        <rFont val="WenQuanYi Zen Hei"/>
        <family val="2"/>
      </rPr>
      <t xml:space="preserve">行 </t>
    </r>
    <r>
      <rPr>
        <sz val="9"/>
        <color rgb="FF203040"/>
        <rFont val="Arial"/>
        <family val="0"/>
        <charset val="1"/>
      </rPr>
      <t xml:space="preserve">= 1 </t>
    </r>
    <r>
      <rPr>
        <sz val="9"/>
        <color rgb="FF203040"/>
        <rFont val="WenQuanYi Zen Hei"/>
        <family val="2"/>
      </rPr>
      <t xml:space="preserve">个差错事件</t>
    </r>
  </si>
  <si>
    <t xml:space="preserve">5 ~ 40</t>
  </si>
  <si>
    <r>
      <rPr>
        <sz val="9"/>
        <color rgb="FF203040"/>
        <rFont val="WenQuanYi Zen Hei"/>
        <family val="2"/>
      </rPr>
      <t xml:space="preserve">订单准确率、千单投诉数的唯一来源；按 </t>
    </r>
    <r>
      <rPr>
        <sz val="9"/>
        <color rgb="FF203040"/>
        <rFont val="Arial"/>
        <family val="0"/>
        <charset val="1"/>
      </rPr>
      <t xml:space="preserve">reason </t>
    </r>
    <r>
      <rPr>
        <sz val="9"/>
        <color rgb="FF203040"/>
        <rFont val="WenQuanYi Zen Hei"/>
        <family val="2"/>
      </rPr>
      <t xml:space="preserve">归类才知道是配料错还是漏给</t>
    </r>
  </si>
  <si>
    <t xml:space="preserve">dim_employee</t>
  </si>
  <si>
    <t xml:space="preserve">员工主数据</t>
  </si>
  <si>
    <t xml:space="preserve">人事系统</t>
  </si>
  <si>
    <r>
      <rPr>
        <sz val="9"/>
        <color rgb="FF203040"/>
        <rFont val="Arial"/>
        <family val="0"/>
        <charset val="1"/>
      </rPr>
      <t xml:space="preserve">1 </t>
    </r>
    <r>
      <rPr>
        <sz val="9"/>
        <color rgb="FF203040"/>
        <rFont val="WenQuanYi Zen Hei"/>
        <family val="2"/>
      </rPr>
      <t xml:space="preserve">行 </t>
    </r>
    <r>
      <rPr>
        <sz val="9"/>
        <color rgb="FF203040"/>
        <rFont val="Arial"/>
        <family val="0"/>
        <charset val="1"/>
      </rPr>
      <t xml:space="preserve">= 1 </t>
    </r>
    <r>
      <rPr>
        <sz val="9"/>
        <color rgb="FF203040"/>
        <rFont val="WenQuanYi Zen Hei"/>
        <family val="2"/>
      </rPr>
      <t xml:space="preserve">名员工</t>
    </r>
  </si>
  <si>
    <r>
      <rPr>
        <sz val="9"/>
        <color rgb="FF203040"/>
        <rFont val="WenQuanYi Zen Hei"/>
        <family val="2"/>
      </rPr>
      <t xml:space="preserve">—（约 </t>
    </r>
    <r>
      <rPr>
        <sz val="9"/>
        <color rgb="FF203040"/>
        <rFont val="Arial"/>
        <family val="0"/>
        <charset val="1"/>
      </rPr>
      <t xml:space="preserve">60~90 </t>
    </r>
    <r>
      <rPr>
        <sz val="9"/>
        <color rgb="FF203040"/>
        <rFont val="WenQuanYi Zen Hei"/>
        <family val="2"/>
      </rPr>
      <t xml:space="preserve">人在册）</t>
    </r>
  </si>
  <si>
    <t xml:space="preserve">工时成本要按人算时薪；流失率、认证覆盖都挂在这张表上</t>
  </si>
  <si>
    <t xml:space="preserve">fct_schedule</t>
  </si>
  <si>
    <t xml:space="preserve">排班计划</t>
  </si>
  <si>
    <t xml:space="preserve">排班系统</t>
  </si>
  <si>
    <r>
      <rPr>
        <sz val="9"/>
        <color rgb="FF203040"/>
        <rFont val="Arial"/>
        <family val="0"/>
        <charset val="1"/>
      </rPr>
      <t xml:space="preserve">1 </t>
    </r>
    <r>
      <rPr>
        <sz val="9"/>
        <color rgb="FF203040"/>
        <rFont val="WenQuanYi Zen Hei"/>
        <family val="2"/>
      </rPr>
      <t xml:space="preserve">行 </t>
    </r>
    <r>
      <rPr>
        <sz val="9"/>
        <color rgb="FF203040"/>
        <rFont val="Arial"/>
        <family val="0"/>
        <charset val="1"/>
      </rPr>
      <t xml:space="preserve">= 1 </t>
    </r>
    <r>
      <rPr>
        <sz val="9"/>
        <color rgb="FF203040"/>
        <rFont val="WenQuanYi Zen Hei"/>
        <family val="2"/>
      </rPr>
      <t xml:space="preserve">人 </t>
    </r>
    <r>
      <rPr>
        <sz val="9"/>
        <color rgb="FF203040"/>
        <rFont val="Arial"/>
        <family val="0"/>
        <charset val="1"/>
      </rPr>
      <t xml:space="preserve">1 </t>
    </r>
    <r>
      <rPr>
        <sz val="9"/>
        <color rgb="FF203040"/>
        <rFont val="WenQuanYi Zen Hei"/>
        <family val="2"/>
      </rPr>
      <t xml:space="preserve">个班次</t>
    </r>
  </si>
  <si>
    <r>
      <rPr>
        <sz val="9"/>
        <color rgb="FF203040"/>
        <rFont val="Arial"/>
        <family val="0"/>
        <charset val="1"/>
      </rPr>
      <t xml:space="preserve">T-7 </t>
    </r>
    <r>
      <rPr>
        <sz val="9"/>
        <color rgb="FF203040"/>
        <rFont val="WenQuanYi Zen Hei"/>
        <family val="2"/>
      </rPr>
      <t xml:space="preserve">生成，日内可调</t>
    </r>
  </si>
  <si>
    <t xml:space="preserve">40 ~ 70</t>
  </si>
  <si>
    <r>
      <rPr>
        <sz val="9"/>
        <color rgb="FF203040"/>
        <rFont val="WenQuanYi Zen Hei"/>
        <family val="2"/>
      </rPr>
      <t xml:space="preserve">所有</t>
    </r>
    <r>
      <rPr>
        <sz val="9"/>
        <color rgb="FF203040"/>
        <rFont val="Arial"/>
        <family val="0"/>
        <charset val="1"/>
      </rPr>
      <t xml:space="preserve">'</t>
    </r>
    <r>
      <rPr>
        <sz val="9"/>
        <color rgb="FF203040"/>
        <rFont val="WenQuanYi Zen Hei"/>
        <family val="2"/>
      </rPr>
      <t xml:space="preserve">该有多少人</t>
    </r>
    <r>
      <rPr>
        <sz val="9"/>
        <color rgb="FF203040"/>
        <rFont val="Arial"/>
        <family val="0"/>
        <charset val="1"/>
      </rPr>
      <t xml:space="preserve">'</t>
    </r>
    <r>
      <rPr>
        <sz val="9"/>
        <color rgb="FF203040"/>
        <rFont val="WenQuanYi Zen Hei"/>
        <family val="2"/>
      </rPr>
      <t xml:space="preserve">的分母。排班 </t>
    </r>
    <r>
      <rPr>
        <sz val="9"/>
        <color rgb="FF203040"/>
        <rFont val="Arial"/>
        <family val="0"/>
        <charset val="1"/>
      </rPr>
      <t xml:space="preserve">vs </t>
    </r>
    <r>
      <rPr>
        <sz val="9"/>
        <color rgb="FF203040"/>
        <rFont val="WenQuanYi Zen Hei"/>
        <family val="2"/>
      </rPr>
      <t xml:space="preserve">实际的差，是人工成本失控的第一现场</t>
    </r>
  </si>
  <si>
    <t xml:space="preserve">fct_timecard</t>
  </si>
  <si>
    <t xml:space="preserve">考勤打卡</t>
  </si>
  <si>
    <r>
      <rPr>
        <sz val="9"/>
        <color rgb="FF203040"/>
        <rFont val="WenQuanYi Zen Hei"/>
        <family val="2"/>
      </rPr>
      <t xml:space="preserve">考勤机 </t>
    </r>
    <r>
      <rPr>
        <sz val="9"/>
        <color rgb="FF203040"/>
        <rFont val="Arial"/>
        <family val="0"/>
        <charset val="1"/>
      </rPr>
      <t xml:space="preserve">/ </t>
    </r>
    <r>
      <rPr>
        <sz val="9"/>
        <color rgb="FF203040"/>
        <rFont val="WenQuanYi Zen Hei"/>
        <family val="2"/>
      </rPr>
      <t xml:space="preserve">排班系统</t>
    </r>
  </si>
  <si>
    <r>
      <rPr>
        <sz val="9"/>
        <color rgb="FF203040"/>
        <rFont val="Arial"/>
        <family val="0"/>
        <charset val="1"/>
      </rPr>
      <t xml:space="preserve">1 </t>
    </r>
    <r>
      <rPr>
        <sz val="9"/>
        <color rgb="FF203040"/>
        <rFont val="WenQuanYi Zen Hei"/>
        <family val="2"/>
      </rPr>
      <t xml:space="preserve">行 </t>
    </r>
    <r>
      <rPr>
        <sz val="9"/>
        <color rgb="FF203040"/>
        <rFont val="Arial"/>
        <family val="0"/>
        <charset val="1"/>
      </rPr>
      <t xml:space="preserve">= 1 </t>
    </r>
    <r>
      <rPr>
        <sz val="9"/>
        <color rgb="FF203040"/>
        <rFont val="WenQuanYi Zen Hei"/>
        <family val="2"/>
      </rPr>
      <t xml:space="preserve">人 </t>
    </r>
    <r>
      <rPr>
        <sz val="9"/>
        <color rgb="FF203040"/>
        <rFont val="Arial"/>
        <family val="0"/>
        <charset val="1"/>
      </rPr>
      <t xml:space="preserve">1 </t>
    </r>
    <r>
      <rPr>
        <sz val="9"/>
        <color rgb="FF203040"/>
        <rFont val="WenQuanYi Zen Hei"/>
        <family val="2"/>
      </rPr>
      <t xml:space="preserve">次上下班</t>
    </r>
  </si>
  <si>
    <r>
      <rPr>
        <sz val="9"/>
        <color rgb="FF203040"/>
        <rFont val="WenQuanYi Zen Hei"/>
        <family val="2"/>
      </rPr>
      <t xml:space="preserve">实际工时 → 人工成本率、</t>
    </r>
    <r>
      <rPr>
        <sz val="9"/>
        <color rgb="FF203040"/>
        <rFont val="Arial"/>
        <family val="0"/>
        <charset val="1"/>
      </rPr>
      <t xml:space="preserve">SPLH</t>
    </r>
    <r>
      <rPr>
        <sz val="9"/>
        <color rgb="FF203040"/>
        <rFont val="WenQuanYi Zen Hei"/>
        <family val="2"/>
      </rPr>
      <t xml:space="preserve">；迟到与出勤 → 高峰为什么撑不住</t>
    </r>
  </si>
  <si>
    <t xml:space="preserve">fct_training_record</t>
  </si>
  <si>
    <t xml:space="preserve">培训与岗位认证</t>
  </si>
  <si>
    <t xml:space="preserve">学习平台</t>
  </si>
  <si>
    <r>
      <rPr>
        <sz val="9"/>
        <color rgb="FF203040"/>
        <rFont val="Arial"/>
        <family val="0"/>
        <charset val="1"/>
      </rPr>
      <t xml:space="preserve">1 </t>
    </r>
    <r>
      <rPr>
        <sz val="9"/>
        <color rgb="FF203040"/>
        <rFont val="WenQuanYi Zen Hei"/>
        <family val="2"/>
      </rPr>
      <t xml:space="preserve">行 </t>
    </r>
    <r>
      <rPr>
        <sz val="9"/>
        <color rgb="FF203040"/>
        <rFont val="Arial"/>
        <family val="0"/>
        <charset val="1"/>
      </rPr>
      <t xml:space="preserve">= 1 </t>
    </r>
    <r>
      <rPr>
        <sz val="9"/>
        <color rgb="FF203040"/>
        <rFont val="WenQuanYi Zen Hei"/>
        <family val="2"/>
      </rPr>
      <t xml:space="preserve">人 </t>
    </r>
    <r>
      <rPr>
        <sz val="9"/>
        <color rgb="FF203040"/>
        <rFont val="Arial"/>
        <family val="0"/>
        <charset val="1"/>
      </rPr>
      <t xml:space="preserve">1 </t>
    </r>
    <r>
      <rPr>
        <sz val="9"/>
        <color rgb="FF203040"/>
        <rFont val="WenQuanYi Zen Hei"/>
        <family val="2"/>
      </rPr>
      <t xml:space="preserve">项认证</t>
    </r>
  </si>
  <si>
    <t xml:space="preserve">周批</t>
  </si>
  <si>
    <r>
      <rPr>
        <sz val="9"/>
        <color rgb="FF203040"/>
        <rFont val="WenQuanYi Zen Hei"/>
        <family val="2"/>
      </rPr>
      <t xml:space="preserve">高峰慢、废弃高、食安失分，往往先在</t>
    </r>
    <r>
      <rPr>
        <sz val="9"/>
        <color rgb="FF203040"/>
        <rFont val="Arial"/>
        <family val="0"/>
        <charset val="1"/>
      </rPr>
      <t xml:space="preserve">'</t>
    </r>
    <r>
      <rPr>
        <sz val="9"/>
        <color rgb="FF203040"/>
        <rFont val="WenQuanYi Zen Hei"/>
        <family val="2"/>
      </rPr>
      <t xml:space="preserve">谁没认证却在站岗</t>
    </r>
    <r>
      <rPr>
        <sz val="9"/>
        <color rgb="FF203040"/>
        <rFont val="Arial"/>
        <family val="0"/>
        <charset val="1"/>
      </rPr>
      <t xml:space="preserve">'</t>
    </r>
    <r>
      <rPr>
        <sz val="9"/>
        <color rgb="FF203040"/>
        <rFont val="WenQuanYi Zen Hei"/>
        <family val="2"/>
      </rPr>
      <t xml:space="preserve">这里露头</t>
    </r>
  </si>
  <si>
    <t xml:space="preserve">dim_item</t>
  </si>
  <si>
    <t xml:space="preserve">原料主数据</t>
  </si>
  <si>
    <t xml:space="preserve">库存</t>
  </si>
  <si>
    <t xml:space="preserve">供应链系统</t>
  </si>
  <si>
    <r>
      <rPr>
        <sz val="9"/>
        <color rgb="FF203040"/>
        <rFont val="Arial"/>
        <family val="0"/>
        <charset val="1"/>
      </rPr>
      <t xml:space="preserve">1 </t>
    </r>
    <r>
      <rPr>
        <sz val="9"/>
        <color rgb="FF203040"/>
        <rFont val="WenQuanYi Zen Hei"/>
        <family val="2"/>
      </rPr>
      <t xml:space="preserve">行 </t>
    </r>
    <r>
      <rPr>
        <sz val="9"/>
        <color rgb="FF203040"/>
        <rFont val="Arial"/>
        <family val="0"/>
        <charset val="1"/>
      </rPr>
      <t xml:space="preserve">= 1 </t>
    </r>
    <r>
      <rPr>
        <sz val="9"/>
        <color rgb="FF203040"/>
        <rFont val="WenQuanYi Zen Hei"/>
        <family val="2"/>
      </rPr>
      <t xml:space="preserve">个原料</t>
    </r>
  </si>
  <si>
    <r>
      <rPr>
        <sz val="9"/>
        <color rgb="FF203040"/>
        <rFont val="WenQuanYi Zen Hei"/>
        <family val="2"/>
      </rPr>
      <t xml:space="preserve">—（约 </t>
    </r>
    <r>
      <rPr>
        <sz val="9"/>
        <color rgb="FF203040"/>
        <rFont val="Arial"/>
        <family val="0"/>
        <charset val="1"/>
      </rPr>
      <t xml:space="preserve">200 </t>
    </r>
    <r>
      <rPr>
        <sz val="9"/>
        <color rgb="FF203040"/>
        <rFont val="WenQuanYi Zen Hei"/>
        <family val="2"/>
      </rPr>
      <t xml:space="preserve">个原料）</t>
    </r>
  </si>
  <si>
    <t xml:space="preserve">盘点、订货、废弃全部以原料为单位；保质期字段决定先进先出怎么排</t>
  </si>
  <si>
    <t xml:space="preserve">fct_goods_receipt</t>
  </si>
  <si>
    <t xml:space="preserve">收货记录</t>
  </si>
  <si>
    <t xml:space="preserve">订货收货系统</t>
  </si>
  <si>
    <r>
      <rPr>
        <sz val="9"/>
        <color rgb="FF203040"/>
        <rFont val="Arial"/>
        <family val="0"/>
        <charset val="1"/>
      </rPr>
      <t xml:space="preserve">1 </t>
    </r>
    <r>
      <rPr>
        <sz val="9"/>
        <color rgb="FF203040"/>
        <rFont val="WenQuanYi Zen Hei"/>
        <family val="2"/>
      </rPr>
      <t xml:space="preserve">行 </t>
    </r>
    <r>
      <rPr>
        <sz val="9"/>
        <color rgb="FF203040"/>
        <rFont val="Arial"/>
        <family val="0"/>
        <charset val="1"/>
      </rPr>
      <t xml:space="preserve">= 1 </t>
    </r>
    <r>
      <rPr>
        <sz val="9"/>
        <color rgb="FF203040"/>
        <rFont val="WenQuanYi Zen Hei"/>
        <family val="2"/>
      </rPr>
      <t xml:space="preserve">次收货的 </t>
    </r>
    <r>
      <rPr>
        <sz val="9"/>
        <color rgb="FF203040"/>
        <rFont val="Arial"/>
        <family val="0"/>
        <charset val="1"/>
      </rPr>
      <t xml:space="preserve">1 </t>
    </r>
    <r>
      <rPr>
        <sz val="9"/>
        <color rgb="FF203040"/>
        <rFont val="WenQuanYi Zen Hei"/>
        <family val="2"/>
      </rPr>
      <t xml:space="preserve">个原料</t>
    </r>
  </si>
  <si>
    <t xml:space="preserve">每次送货</t>
  </si>
  <si>
    <r>
      <rPr>
        <sz val="9"/>
        <color rgb="FF203040"/>
        <rFont val="Arial"/>
        <family val="0"/>
        <charset val="1"/>
      </rPr>
      <t xml:space="preserve">0 ~ 120</t>
    </r>
    <r>
      <rPr>
        <sz val="9"/>
        <color rgb="FF203040"/>
        <rFont val="WenQuanYi Zen Hei"/>
        <family val="2"/>
      </rPr>
      <t xml:space="preserve">（隔日送货）</t>
    </r>
  </si>
  <si>
    <t xml:space="preserve">食品成本的进项；收货温度不合格是食安一票否决项</t>
  </si>
  <si>
    <t xml:space="preserve">fct_inventory_count</t>
  </si>
  <si>
    <t xml:space="preserve">盘点</t>
  </si>
  <si>
    <t xml:space="preserve">门店管理工作站</t>
  </si>
  <si>
    <r>
      <rPr>
        <sz val="9"/>
        <color rgb="FF203040"/>
        <rFont val="Arial"/>
        <family val="0"/>
        <charset val="1"/>
      </rPr>
      <t xml:space="preserve">1 </t>
    </r>
    <r>
      <rPr>
        <sz val="9"/>
        <color rgb="FF203040"/>
        <rFont val="WenQuanYi Zen Hei"/>
        <family val="2"/>
      </rPr>
      <t xml:space="preserve">行 </t>
    </r>
    <r>
      <rPr>
        <sz val="9"/>
        <color rgb="FF203040"/>
        <rFont val="Arial"/>
        <family val="0"/>
        <charset val="1"/>
      </rPr>
      <t xml:space="preserve">= 1 </t>
    </r>
    <r>
      <rPr>
        <sz val="9"/>
        <color rgb="FF203040"/>
        <rFont val="WenQuanYi Zen Hei"/>
        <family val="2"/>
      </rPr>
      <t xml:space="preserve">次盘点的 </t>
    </r>
    <r>
      <rPr>
        <sz val="9"/>
        <color rgb="FF203040"/>
        <rFont val="Arial"/>
        <family val="0"/>
        <charset val="1"/>
      </rPr>
      <t xml:space="preserve">1 </t>
    </r>
    <r>
      <rPr>
        <sz val="9"/>
        <color rgb="FF203040"/>
        <rFont val="WenQuanYi Zen Hei"/>
        <family val="2"/>
      </rPr>
      <t xml:space="preserve">个原料</t>
    </r>
  </si>
  <si>
    <r>
      <rPr>
        <sz val="9"/>
        <color rgb="FF203040"/>
        <rFont val="WenQuanYi Zen Hei"/>
        <family val="2"/>
      </rPr>
      <t xml:space="preserve">日盘（关键品）</t>
    </r>
    <r>
      <rPr>
        <sz val="9"/>
        <color rgb="FF203040"/>
        <rFont val="Arial"/>
        <family val="0"/>
        <charset val="1"/>
      </rPr>
      <t xml:space="preserve">+ </t>
    </r>
    <r>
      <rPr>
        <sz val="9"/>
        <color rgb="FF203040"/>
        <rFont val="WenQuanYi Zen Hei"/>
        <family val="2"/>
      </rPr>
      <t xml:space="preserve">周盘（全品）</t>
    </r>
  </si>
  <si>
    <t xml:space="preserve">20 ~ 200</t>
  </si>
  <si>
    <r>
      <rPr>
        <sz val="9"/>
        <color rgb="FF203040"/>
        <rFont val="WenQuanYi Zen Hei"/>
        <family val="2"/>
      </rPr>
      <t xml:space="preserve">实际食品成本 </t>
    </r>
    <r>
      <rPr>
        <sz val="9"/>
        <color rgb="FF203040"/>
        <rFont val="Arial"/>
        <family val="0"/>
        <charset val="1"/>
      </rPr>
      <t xml:space="preserve">=</t>
    </r>
    <r>
      <rPr>
        <sz val="9"/>
        <color rgb="FF203040"/>
        <rFont val="WenQuanYi Zen Hei"/>
        <family val="2"/>
      </rPr>
      <t xml:space="preserve">（期初 </t>
    </r>
    <r>
      <rPr>
        <sz val="9"/>
        <color rgb="FF203040"/>
        <rFont val="Arial"/>
        <family val="0"/>
        <charset val="1"/>
      </rPr>
      <t xml:space="preserve">+ </t>
    </r>
    <r>
      <rPr>
        <sz val="9"/>
        <color rgb="FF203040"/>
        <rFont val="WenQuanYi Zen Hei"/>
        <family val="2"/>
      </rPr>
      <t xml:space="preserve">进货 − 期末）／销售。没有盘点，</t>
    </r>
    <r>
      <rPr>
        <sz val="9"/>
        <color rgb="FF203040"/>
        <rFont val="Arial"/>
        <family val="0"/>
        <charset val="1"/>
      </rPr>
      <t xml:space="preserve">FC% </t>
    </r>
    <r>
      <rPr>
        <sz val="9"/>
        <color rgb="FF203040"/>
        <rFont val="WenQuanYi Zen Hei"/>
        <family val="2"/>
      </rPr>
      <t xml:space="preserve">就是猜的</t>
    </r>
  </si>
  <si>
    <t xml:space="preserve">fct_waste_log</t>
  </si>
  <si>
    <t xml:space="preserve">废弃登记</t>
  </si>
  <si>
    <r>
      <rPr>
        <sz val="9"/>
        <color rgb="FF203040"/>
        <rFont val="WenQuanYi Zen Hei"/>
        <family val="2"/>
      </rPr>
      <t xml:space="preserve">门店管理工作站 </t>
    </r>
    <r>
      <rPr>
        <sz val="9"/>
        <color rgb="FF203040"/>
        <rFont val="Arial"/>
        <family val="0"/>
        <charset val="1"/>
      </rPr>
      <t xml:space="preserve">/ </t>
    </r>
    <r>
      <rPr>
        <sz val="9"/>
        <color rgb="FF203040"/>
        <rFont val="WenQuanYi Zen Hei"/>
        <family val="2"/>
      </rPr>
      <t xml:space="preserve">手工录入</t>
    </r>
  </si>
  <si>
    <r>
      <rPr>
        <sz val="9"/>
        <color rgb="FF203040"/>
        <rFont val="Arial"/>
        <family val="0"/>
        <charset val="1"/>
      </rPr>
      <t xml:space="preserve">1 </t>
    </r>
    <r>
      <rPr>
        <sz val="9"/>
        <color rgb="FF203040"/>
        <rFont val="WenQuanYi Zen Hei"/>
        <family val="2"/>
      </rPr>
      <t xml:space="preserve">行 </t>
    </r>
    <r>
      <rPr>
        <sz val="9"/>
        <color rgb="FF203040"/>
        <rFont val="Arial"/>
        <family val="0"/>
        <charset val="1"/>
      </rPr>
      <t xml:space="preserve">= 1 </t>
    </r>
    <r>
      <rPr>
        <sz val="9"/>
        <color rgb="FF203040"/>
        <rFont val="WenQuanYi Zen Hei"/>
        <family val="2"/>
      </rPr>
      <t xml:space="preserve">次废弃</t>
    </r>
  </si>
  <si>
    <t xml:space="preserve">班次录入</t>
  </si>
  <si>
    <t xml:space="preserve">20 ~ 80</t>
  </si>
  <si>
    <r>
      <rPr>
        <sz val="9"/>
        <color rgb="FF203040"/>
        <rFont val="WenQuanYi Zen Hei"/>
        <family val="2"/>
      </rPr>
      <t xml:space="preserve">废弃分</t>
    </r>
    <r>
      <rPr>
        <sz val="9"/>
        <color rgb="FF203040"/>
        <rFont val="Arial"/>
        <family val="0"/>
        <charset val="1"/>
      </rPr>
      <t xml:space="preserve">'</t>
    </r>
    <r>
      <rPr>
        <sz val="9"/>
        <color rgb="FF203040"/>
        <rFont val="WenQuanYi Zen Hei"/>
        <family val="2"/>
      </rPr>
      <t xml:space="preserve">原料废弃</t>
    </r>
    <r>
      <rPr>
        <sz val="9"/>
        <color rgb="FF203040"/>
        <rFont val="Arial"/>
        <family val="0"/>
        <charset val="1"/>
      </rPr>
      <t xml:space="preserve">'</t>
    </r>
    <r>
      <rPr>
        <sz val="9"/>
        <color rgb="FF203040"/>
        <rFont val="WenQuanYi Zen Hei"/>
        <family val="2"/>
      </rPr>
      <t xml:space="preserve">（过期、掉地）和</t>
    </r>
    <r>
      <rPr>
        <sz val="9"/>
        <color rgb="FF203040"/>
        <rFont val="Arial"/>
        <family val="0"/>
        <charset val="1"/>
      </rPr>
      <t xml:space="preserve">'</t>
    </r>
    <r>
      <rPr>
        <sz val="9"/>
        <color rgb="FF203040"/>
        <rFont val="WenQuanYi Zen Hei"/>
        <family val="2"/>
      </rPr>
      <t xml:space="preserve">成品废弃</t>
    </r>
    <r>
      <rPr>
        <sz val="9"/>
        <color rgb="FF203040"/>
        <rFont val="Arial"/>
        <family val="0"/>
        <charset val="1"/>
      </rPr>
      <t xml:space="preserve">'</t>
    </r>
    <r>
      <rPr>
        <sz val="9"/>
        <color rgb="FF203040"/>
        <rFont val="WenQuanYi Zen Hei"/>
        <family val="2"/>
      </rPr>
      <t xml:space="preserve">（做多了、保温超时），两者的原因和对策完全不同</t>
    </r>
  </si>
  <si>
    <t xml:space="preserve">fct_holding_batch</t>
  </si>
  <si>
    <t xml:space="preserve">保温批次</t>
  </si>
  <si>
    <r>
      <rPr>
        <sz val="9"/>
        <color rgb="FF203040"/>
        <rFont val="WenQuanYi Zen Hei"/>
        <family val="2"/>
      </rPr>
      <t xml:space="preserve">生产管理 </t>
    </r>
    <r>
      <rPr>
        <sz val="9"/>
        <color rgb="FF203040"/>
        <rFont val="Arial"/>
        <family val="0"/>
        <charset val="1"/>
      </rPr>
      <t xml:space="preserve">/ </t>
    </r>
    <r>
      <rPr>
        <sz val="9"/>
        <color rgb="FF203040"/>
        <rFont val="WenQuanYi Zen Hei"/>
        <family val="2"/>
      </rPr>
      <t xml:space="preserve">保温柜计时</t>
    </r>
  </si>
  <si>
    <r>
      <rPr>
        <sz val="9"/>
        <color rgb="FF203040"/>
        <rFont val="Arial"/>
        <family val="0"/>
        <charset val="1"/>
      </rPr>
      <t xml:space="preserve">1 </t>
    </r>
    <r>
      <rPr>
        <sz val="9"/>
        <color rgb="FF203040"/>
        <rFont val="WenQuanYi Zen Hei"/>
        <family val="2"/>
      </rPr>
      <t xml:space="preserve">行 </t>
    </r>
    <r>
      <rPr>
        <sz val="9"/>
        <color rgb="FF203040"/>
        <rFont val="Arial"/>
        <family val="0"/>
        <charset val="1"/>
      </rPr>
      <t xml:space="preserve">= 1 </t>
    </r>
    <r>
      <rPr>
        <sz val="9"/>
        <color rgb="FF203040"/>
        <rFont val="WenQuanYi Zen Hei"/>
        <family val="2"/>
      </rPr>
      <t xml:space="preserve">批出品</t>
    </r>
  </si>
  <si>
    <t xml:space="preserve">150 ~ 400</t>
  </si>
  <si>
    <r>
      <rPr>
        <sz val="9"/>
        <color rgb="FF203040"/>
        <rFont val="WenQuanYi Zen Hei"/>
        <family val="2"/>
      </rPr>
      <t xml:space="preserve">在</t>
    </r>
    <r>
      <rPr>
        <sz val="9"/>
        <color rgb="FF203040"/>
        <rFont val="Arial"/>
        <family val="0"/>
        <charset val="1"/>
      </rPr>
      <t xml:space="preserve">'</t>
    </r>
    <r>
      <rPr>
        <sz val="9"/>
        <color rgb="FF203040"/>
        <rFont val="WenQuanYi Zen Hei"/>
        <family val="2"/>
      </rPr>
      <t xml:space="preserve">新鲜</t>
    </r>
    <r>
      <rPr>
        <sz val="9"/>
        <color rgb="FF203040"/>
        <rFont val="Arial"/>
        <family val="0"/>
        <charset val="1"/>
      </rPr>
      <t xml:space="preserve">'</t>
    </r>
    <r>
      <rPr>
        <sz val="9"/>
        <color rgb="FF203040"/>
        <rFont val="WenQuanYi Zen Hei"/>
        <family val="2"/>
      </rPr>
      <t xml:space="preserve">和</t>
    </r>
    <r>
      <rPr>
        <sz val="9"/>
        <color rgb="FF203040"/>
        <rFont val="Arial"/>
        <family val="0"/>
        <charset val="1"/>
      </rPr>
      <t xml:space="preserve">'</t>
    </r>
    <r>
      <rPr>
        <sz val="9"/>
        <color rgb="FF203040"/>
        <rFont val="WenQuanYi Zen Hei"/>
        <family val="2"/>
      </rPr>
      <t xml:space="preserve">快</t>
    </r>
    <r>
      <rPr>
        <sz val="9"/>
        <color rgb="FF203040"/>
        <rFont val="Arial"/>
        <family val="0"/>
        <charset val="1"/>
      </rPr>
      <t xml:space="preserve">'</t>
    </r>
    <r>
      <rPr>
        <sz val="9"/>
        <color rgb="FF203040"/>
        <rFont val="WenQuanYi Zen Hei"/>
        <family val="2"/>
      </rPr>
      <t xml:space="preserve">之间的那个平衡点，就写在这张表里</t>
    </r>
  </si>
  <si>
    <t xml:space="preserve">dim_sales_forecast</t>
  </si>
  <si>
    <t xml:space="preserve">需求预测系统</t>
  </si>
  <si>
    <r>
      <rPr>
        <sz val="9"/>
        <color rgb="FF203040"/>
        <rFont val="Arial"/>
        <family val="0"/>
        <charset val="1"/>
      </rPr>
      <t xml:space="preserve">1 </t>
    </r>
    <r>
      <rPr>
        <sz val="9"/>
        <color rgb="FF203040"/>
        <rFont val="WenQuanYi Zen Hei"/>
        <family val="2"/>
      </rPr>
      <t xml:space="preserve">行 </t>
    </r>
    <r>
      <rPr>
        <sz val="9"/>
        <color rgb="FF203040"/>
        <rFont val="Arial"/>
        <family val="0"/>
        <charset val="1"/>
      </rPr>
      <t xml:space="preserve">= 1 </t>
    </r>
    <r>
      <rPr>
        <sz val="9"/>
        <color rgb="FF203040"/>
        <rFont val="WenQuanYi Zen Hei"/>
        <family val="2"/>
      </rPr>
      <t xml:space="preserve">个 </t>
    </r>
    <r>
      <rPr>
        <sz val="9"/>
        <color rgb="FF203040"/>
        <rFont val="Arial"/>
        <family val="0"/>
        <charset val="1"/>
      </rPr>
      <t xml:space="preserve">15 </t>
    </r>
    <r>
      <rPr>
        <sz val="9"/>
        <color rgb="FF203040"/>
        <rFont val="WenQuanYi Zen Hei"/>
        <family val="2"/>
      </rPr>
      <t xml:space="preserve">分钟时段 </t>
    </r>
    <r>
      <rPr>
        <sz val="9"/>
        <color rgb="FF203040"/>
        <rFont val="Arial"/>
        <family val="0"/>
        <charset val="1"/>
      </rPr>
      <t xml:space="preserve">× </t>
    </r>
    <r>
      <rPr>
        <sz val="9"/>
        <color rgb="FF203040"/>
        <rFont val="WenQuanYi Zen Hei"/>
        <family val="2"/>
      </rPr>
      <t xml:space="preserve">渠道</t>
    </r>
  </si>
  <si>
    <r>
      <rPr>
        <sz val="9"/>
        <color rgb="FF203040"/>
        <rFont val="Arial"/>
        <family val="0"/>
        <charset val="1"/>
      </rPr>
      <t xml:space="preserve">T-1 </t>
    </r>
    <r>
      <rPr>
        <sz val="9"/>
        <color rgb="FF203040"/>
        <rFont val="WenQuanYi Zen Hei"/>
        <family val="2"/>
      </rPr>
      <t xml:space="preserve">生成，日内滚动</t>
    </r>
  </si>
  <si>
    <r>
      <rPr>
        <sz val="9"/>
        <color rgb="FF203040"/>
        <rFont val="WenQuanYi Zen Hei"/>
        <family val="2"/>
      </rPr>
      <t xml:space="preserve">约 </t>
    </r>
    <r>
      <rPr>
        <sz val="9"/>
        <color rgb="FF203040"/>
        <rFont val="Arial"/>
        <family val="0"/>
        <charset val="1"/>
      </rPr>
      <t xml:space="preserve">360</t>
    </r>
  </si>
  <si>
    <t xml:space="preserve">排班、订货、备货全部由它驱动。预测不准 → 要么排多了亏人工，要么排少了亏速度</t>
  </si>
  <si>
    <t xml:space="preserve">fct_food_safety_check</t>
  </si>
  <si>
    <t xml:space="preserve">食安检查表</t>
  </si>
  <si>
    <t xml:space="preserve">食安与品质</t>
  </si>
  <si>
    <r>
      <rPr>
        <sz val="9"/>
        <color rgb="FF203040"/>
        <rFont val="WenQuanYi Zen Hei"/>
        <family val="2"/>
      </rPr>
      <t xml:space="preserve">食安检查 </t>
    </r>
    <r>
      <rPr>
        <sz val="9"/>
        <color rgb="FF203040"/>
        <rFont val="Arial"/>
        <family val="0"/>
        <charset val="1"/>
      </rPr>
      <t xml:space="preserve">App</t>
    </r>
  </si>
  <si>
    <r>
      <rPr>
        <sz val="9"/>
        <color rgb="FF203040"/>
        <rFont val="Arial"/>
        <family val="0"/>
        <charset val="1"/>
      </rPr>
      <t xml:space="preserve">1 </t>
    </r>
    <r>
      <rPr>
        <sz val="9"/>
        <color rgb="FF203040"/>
        <rFont val="WenQuanYi Zen Hei"/>
        <family val="2"/>
      </rPr>
      <t xml:space="preserve">行 </t>
    </r>
    <r>
      <rPr>
        <sz val="9"/>
        <color rgb="FF203040"/>
        <rFont val="Arial"/>
        <family val="0"/>
        <charset val="1"/>
      </rPr>
      <t xml:space="preserve">= 1 </t>
    </r>
    <r>
      <rPr>
        <sz val="9"/>
        <color rgb="FF203040"/>
        <rFont val="WenQuanYi Zen Hei"/>
        <family val="2"/>
      </rPr>
      <t xml:space="preserve">次检查的 </t>
    </r>
    <r>
      <rPr>
        <sz val="9"/>
        <color rgb="FF203040"/>
        <rFont val="Arial"/>
        <family val="0"/>
        <charset val="1"/>
      </rPr>
      <t xml:space="preserve">1 </t>
    </r>
    <r>
      <rPr>
        <sz val="9"/>
        <color rgb="FF203040"/>
        <rFont val="WenQuanYi Zen Hei"/>
        <family val="2"/>
      </rPr>
      <t xml:space="preserve">个检查项</t>
    </r>
  </si>
  <si>
    <r>
      <rPr>
        <sz val="9"/>
        <color rgb="FF203040"/>
        <rFont val="WenQuanYi Zen Hei"/>
        <family val="2"/>
      </rPr>
      <t xml:space="preserve">每班（开店</t>
    </r>
    <r>
      <rPr>
        <sz val="9"/>
        <color rgb="FF203040"/>
        <rFont val="Arial"/>
        <family val="0"/>
        <charset val="1"/>
      </rPr>
      <t xml:space="preserve">/</t>
    </r>
    <r>
      <rPr>
        <sz val="9"/>
        <color rgb="FF203040"/>
        <rFont val="WenQuanYi Zen Hei"/>
        <family val="2"/>
      </rPr>
      <t xml:space="preserve">交接</t>
    </r>
    <r>
      <rPr>
        <sz val="9"/>
        <color rgb="FF203040"/>
        <rFont val="Arial"/>
        <family val="0"/>
        <charset val="1"/>
      </rPr>
      <t xml:space="preserve">/</t>
    </r>
    <r>
      <rPr>
        <sz val="9"/>
        <color rgb="FF203040"/>
        <rFont val="WenQuanYi Zen Hei"/>
        <family val="2"/>
      </rPr>
      <t xml:space="preserve">闭店）</t>
    </r>
  </si>
  <si>
    <t xml:space="preserve">60 ~ 150</t>
  </si>
  <si>
    <r>
      <rPr>
        <sz val="9"/>
        <color rgb="FF203040"/>
        <rFont val="WenQuanYi Zen Hei"/>
        <family val="2"/>
      </rPr>
      <t xml:space="preserve">唯一一个</t>
    </r>
    <r>
      <rPr>
        <sz val="9"/>
        <color rgb="FF203040"/>
        <rFont val="Arial"/>
        <family val="0"/>
        <charset val="1"/>
      </rPr>
      <t xml:space="preserve">'</t>
    </r>
    <r>
      <rPr>
        <sz val="9"/>
        <color rgb="FF203040"/>
        <rFont val="WenQuanYi Zen Hei"/>
        <family val="2"/>
      </rPr>
      <t xml:space="preserve">红了就必须立刻停下手上一切事</t>
    </r>
    <r>
      <rPr>
        <sz val="9"/>
        <color rgb="FF203040"/>
        <rFont val="Arial"/>
        <family val="0"/>
        <charset val="1"/>
      </rPr>
      <t xml:space="preserve">'</t>
    </r>
    <r>
      <rPr>
        <sz val="9"/>
        <color rgb="FF203040"/>
        <rFont val="WenQuanYi Zen Hei"/>
        <family val="2"/>
      </rPr>
      <t xml:space="preserve">的域。它不是 </t>
    </r>
    <r>
      <rPr>
        <sz val="9"/>
        <color rgb="FF203040"/>
        <rFont val="Arial"/>
        <family val="0"/>
        <charset val="1"/>
      </rPr>
      <t xml:space="preserve">KPI</t>
    </r>
    <r>
      <rPr>
        <sz val="9"/>
        <color rgb="FF203040"/>
        <rFont val="WenQuanYi Zen Hei"/>
        <family val="2"/>
      </rPr>
      <t xml:space="preserve">，是准入条件</t>
    </r>
  </si>
  <si>
    <t xml:space="preserve">fct_temperature_log</t>
  </si>
  <si>
    <t xml:space="preserve">温度记录</t>
  </si>
  <si>
    <r>
      <rPr>
        <sz val="9"/>
        <color rgb="FF203040"/>
        <rFont val="Arial"/>
        <family val="0"/>
        <charset val="1"/>
      </rPr>
      <t xml:space="preserve">IoT </t>
    </r>
    <r>
      <rPr>
        <sz val="9"/>
        <color rgb="FF203040"/>
        <rFont val="WenQuanYi Zen Hei"/>
        <family val="2"/>
      </rPr>
      <t xml:space="preserve">温感 </t>
    </r>
    <r>
      <rPr>
        <sz val="9"/>
        <color rgb="FF203040"/>
        <rFont val="Arial"/>
        <family val="0"/>
        <charset val="1"/>
      </rPr>
      <t xml:space="preserve">+ </t>
    </r>
    <r>
      <rPr>
        <sz val="9"/>
        <color rgb="FF203040"/>
        <rFont val="WenQuanYi Zen Hei"/>
        <family val="2"/>
      </rPr>
      <t xml:space="preserve">手工探针</t>
    </r>
  </si>
  <si>
    <r>
      <rPr>
        <sz val="9"/>
        <color rgb="FF203040"/>
        <rFont val="Arial"/>
        <family val="0"/>
        <charset val="1"/>
      </rPr>
      <t xml:space="preserve">1 </t>
    </r>
    <r>
      <rPr>
        <sz val="9"/>
        <color rgb="FF203040"/>
        <rFont val="WenQuanYi Zen Hei"/>
        <family val="2"/>
      </rPr>
      <t xml:space="preserve">行 </t>
    </r>
    <r>
      <rPr>
        <sz val="9"/>
        <color rgb="FF203040"/>
        <rFont val="Arial"/>
        <family val="0"/>
        <charset val="1"/>
      </rPr>
      <t xml:space="preserve">= 1 </t>
    </r>
    <r>
      <rPr>
        <sz val="9"/>
        <color rgb="FF203040"/>
        <rFont val="WenQuanYi Zen Hei"/>
        <family val="2"/>
      </rPr>
      <t xml:space="preserve">次测温</t>
    </r>
  </si>
  <si>
    <r>
      <rPr>
        <sz val="9"/>
        <color rgb="FF203040"/>
        <rFont val="Arial"/>
        <family val="0"/>
        <charset val="1"/>
      </rPr>
      <t xml:space="preserve">IoT </t>
    </r>
    <r>
      <rPr>
        <sz val="9"/>
        <color rgb="FF203040"/>
        <rFont val="WenQuanYi Zen Hei"/>
        <family val="2"/>
      </rPr>
      <t xml:space="preserve">每 </t>
    </r>
    <r>
      <rPr>
        <sz val="9"/>
        <color rgb="FF203040"/>
        <rFont val="Arial"/>
        <family val="0"/>
        <charset val="1"/>
      </rPr>
      <t xml:space="preserve">5 </t>
    </r>
    <r>
      <rPr>
        <sz val="9"/>
        <color rgb="FF203040"/>
        <rFont val="WenQuanYi Zen Hei"/>
        <family val="2"/>
      </rPr>
      <t xml:space="preserve">分钟 </t>
    </r>
    <r>
      <rPr>
        <sz val="9"/>
        <color rgb="FF203040"/>
        <rFont val="Arial"/>
        <family val="0"/>
        <charset val="1"/>
      </rPr>
      <t xml:space="preserve">/ </t>
    </r>
    <r>
      <rPr>
        <sz val="9"/>
        <color rgb="FF203040"/>
        <rFont val="WenQuanYi Zen Hei"/>
        <family val="2"/>
      </rPr>
      <t xml:space="preserve">手工每 </t>
    </r>
    <r>
      <rPr>
        <sz val="9"/>
        <color rgb="FF203040"/>
        <rFont val="Arial"/>
        <family val="0"/>
        <charset val="1"/>
      </rPr>
      <t xml:space="preserve">2 </t>
    </r>
    <r>
      <rPr>
        <sz val="9"/>
        <color rgb="FF203040"/>
        <rFont val="WenQuanYi Zen Hei"/>
        <family val="2"/>
      </rPr>
      <t xml:space="preserve">小时</t>
    </r>
  </si>
  <si>
    <t xml:space="preserve">200 ~ 3000</t>
  </si>
  <si>
    <t xml:space="preserve">冷链断了不会有人喊，只有这张表会说话</t>
  </si>
  <si>
    <t xml:space="preserve">fct_travel_path_check</t>
  </si>
  <si>
    <t xml:space="preserve">巡店检查（清洁与体验）</t>
  </si>
  <si>
    <r>
      <rPr>
        <sz val="9"/>
        <color rgb="FF203040"/>
        <rFont val="WenQuanYi Zen Hei"/>
        <family val="2"/>
      </rPr>
      <t xml:space="preserve">巡店 </t>
    </r>
    <r>
      <rPr>
        <sz val="9"/>
        <color rgb="FF203040"/>
        <rFont val="Arial"/>
        <family val="0"/>
        <charset val="1"/>
      </rPr>
      <t xml:space="preserve">App</t>
    </r>
  </si>
  <si>
    <r>
      <rPr>
        <sz val="9"/>
        <color rgb="FF203040"/>
        <rFont val="Arial"/>
        <family val="0"/>
        <charset val="1"/>
      </rPr>
      <t xml:space="preserve">1 </t>
    </r>
    <r>
      <rPr>
        <sz val="9"/>
        <color rgb="FF203040"/>
        <rFont val="WenQuanYi Zen Hei"/>
        <family val="2"/>
      </rPr>
      <t xml:space="preserve">行 </t>
    </r>
    <r>
      <rPr>
        <sz val="9"/>
        <color rgb="FF203040"/>
        <rFont val="Arial"/>
        <family val="0"/>
        <charset val="1"/>
      </rPr>
      <t xml:space="preserve">= 1 </t>
    </r>
    <r>
      <rPr>
        <sz val="9"/>
        <color rgb="FF203040"/>
        <rFont val="WenQuanYi Zen Hei"/>
        <family val="2"/>
      </rPr>
      <t xml:space="preserve">次巡店的 </t>
    </r>
    <r>
      <rPr>
        <sz val="9"/>
        <color rgb="FF203040"/>
        <rFont val="Arial"/>
        <family val="0"/>
        <charset val="1"/>
      </rPr>
      <t xml:space="preserve">1 </t>
    </r>
    <r>
      <rPr>
        <sz val="9"/>
        <color rgb="FF203040"/>
        <rFont val="WenQuanYi Zen Hei"/>
        <family val="2"/>
      </rPr>
      <t xml:space="preserve">个区域</t>
    </r>
  </si>
  <si>
    <r>
      <rPr>
        <sz val="9"/>
        <color rgb="FF203040"/>
        <rFont val="WenQuanYi Zen Hei"/>
        <family val="2"/>
      </rPr>
      <t xml:space="preserve">每班 </t>
    </r>
    <r>
      <rPr>
        <sz val="9"/>
        <color rgb="FF203040"/>
        <rFont val="Arial"/>
        <family val="0"/>
        <charset val="1"/>
      </rPr>
      <t xml:space="preserve">2~3 </t>
    </r>
    <r>
      <rPr>
        <sz val="9"/>
        <color rgb="FF203040"/>
        <rFont val="WenQuanYi Zen Hei"/>
        <family val="2"/>
      </rPr>
      <t xml:space="preserve">次</t>
    </r>
  </si>
  <si>
    <t xml:space="preserve">8 ~ 20</t>
  </si>
  <si>
    <r>
      <rPr>
        <sz val="9"/>
        <color rgb="FF203040"/>
        <rFont val="WenQuanYi Zen Hei"/>
        <family val="2"/>
      </rPr>
      <t xml:space="preserve">顾客对</t>
    </r>
    <r>
      <rPr>
        <sz val="9"/>
        <color rgb="FF203040"/>
        <rFont val="Arial"/>
        <family val="0"/>
        <charset val="1"/>
      </rPr>
      <t xml:space="preserve">'</t>
    </r>
    <r>
      <rPr>
        <sz val="9"/>
        <color rgb="FF203040"/>
        <rFont val="WenQuanYi Zen Hei"/>
        <family val="2"/>
      </rPr>
      <t xml:space="preserve">干净</t>
    </r>
    <r>
      <rPr>
        <sz val="9"/>
        <color rgb="FF203040"/>
        <rFont val="Arial"/>
        <family val="0"/>
        <charset val="1"/>
      </rPr>
      <t xml:space="preserve">'</t>
    </r>
    <r>
      <rPr>
        <sz val="9"/>
        <color rgb="FF203040"/>
        <rFont val="WenQuanYi Zen Hei"/>
        <family val="2"/>
      </rPr>
      <t xml:space="preserve">的判断在洗手间和餐桌，而不在厨房；分区打分才知道派谁去</t>
    </r>
  </si>
  <si>
    <t xml:space="preserve">dim_equipment</t>
  </si>
  <si>
    <t xml:space="preserve">设备台账</t>
  </si>
  <si>
    <r>
      <rPr>
        <sz val="9"/>
        <color rgb="FF203040"/>
        <rFont val="WenQuanYi Zen Hei"/>
        <family val="2"/>
      </rPr>
      <t xml:space="preserve">资产</t>
    </r>
    <r>
      <rPr>
        <sz val="9"/>
        <color rgb="FF203040"/>
        <rFont val="Arial"/>
        <family val="0"/>
        <charset val="1"/>
      </rPr>
      <t xml:space="preserve">/</t>
    </r>
    <r>
      <rPr>
        <sz val="9"/>
        <color rgb="FF203040"/>
        <rFont val="WenQuanYi Zen Hei"/>
        <family val="2"/>
      </rPr>
      <t xml:space="preserve">维保系统</t>
    </r>
  </si>
  <si>
    <r>
      <rPr>
        <sz val="9"/>
        <color rgb="FF203040"/>
        <rFont val="Arial"/>
        <family val="0"/>
        <charset val="1"/>
      </rPr>
      <t xml:space="preserve">1 </t>
    </r>
    <r>
      <rPr>
        <sz val="9"/>
        <color rgb="FF203040"/>
        <rFont val="WenQuanYi Zen Hei"/>
        <family val="2"/>
      </rPr>
      <t xml:space="preserve">行 </t>
    </r>
    <r>
      <rPr>
        <sz val="9"/>
        <color rgb="FF203040"/>
        <rFont val="Arial"/>
        <family val="0"/>
        <charset val="1"/>
      </rPr>
      <t xml:space="preserve">= 1 </t>
    </r>
    <r>
      <rPr>
        <sz val="9"/>
        <color rgb="FF203040"/>
        <rFont val="WenQuanYi Zen Hei"/>
        <family val="2"/>
      </rPr>
      <t xml:space="preserve">台设备</t>
    </r>
  </si>
  <si>
    <t xml:space="preserve">变更时</t>
  </si>
  <si>
    <r>
      <rPr>
        <sz val="9"/>
        <color rgb="FF203040"/>
        <rFont val="WenQuanYi Zen Hei"/>
        <family val="2"/>
      </rPr>
      <t xml:space="preserve">—（约 </t>
    </r>
    <r>
      <rPr>
        <sz val="9"/>
        <color rgb="FF203040"/>
        <rFont val="Arial"/>
        <family val="0"/>
        <charset val="1"/>
      </rPr>
      <t xml:space="preserve">40 </t>
    </r>
    <r>
      <rPr>
        <sz val="9"/>
        <color rgb="FF203040"/>
        <rFont val="WenQuanYi Zen Hei"/>
        <family val="2"/>
      </rPr>
      <t xml:space="preserve">台）</t>
    </r>
  </si>
  <si>
    <t xml:space="preserve">把停机时长挂到具体设备上，才能判断是该修还是该换</t>
  </si>
  <si>
    <t xml:space="preserve">fct_equipment_ticket</t>
  </si>
  <si>
    <t xml:space="preserve">设备工单</t>
  </si>
  <si>
    <t xml:space="preserve">维保工单系统</t>
  </si>
  <si>
    <r>
      <rPr>
        <sz val="9"/>
        <color rgb="FF203040"/>
        <rFont val="Arial"/>
        <family val="0"/>
        <charset val="1"/>
      </rPr>
      <t xml:space="preserve">1 </t>
    </r>
    <r>
      <rPr>
        <sz val="9"/>
        <color rgb="FF203040"/>
        <rFont val="WenQuanYi Zen Hei"/>
        <family val="2"/>
      </rPr>
      <t xml:space="preserve">行 </t>
    </r>
    <r>
      <rPr>
        <sz val="9"/>
        <color rgb="FF203040"/>
        <rFont val="Arial"/>
        <family val="0"/>
        <charset val="1"/>
      </rPr>
      <t xml:space="preserve">= 1 </t>
    </r>
    <r>
      <rPr>
        <sz val="9"/>
        <color rgb="FF203040"/>
        <rFont val="WenQuanYi Zen Hei"/>
        <family val="2"/>
      </rPr>
      <t xml:space="preserve">张工单</t>
    </r>
  </si>
  <si>
    <t xml:space="preserve">0 ~ 5</t>
  </si>
  <si>
    <r>
      <rPr>
        <sz val="9"/>
        <color rgb="FF203040"/>
        <rFont val="Arial"/>
        <family val="0"/>
        <charset val="1"/>
      </rPr>
      <t xml:space="preserve">'</t>
    </r>
    <r>
      <rPr>
        <sz val="9"/>
        <color rgb="FF203040"/>
        <rFont val="WenQuanYi Zen Hei"/>
        <family val="2"/>
      </rPr>
      <t xml:space="preserve">今天薯条为什么慢</t>
    </r>
    <r>
      <rPr>
        <sz val="9"/>
        <color rgb="FF203040"/>
        <rFont val="Arial"/>
        <family val="0"/>
        <charset val="1"/>
      </rPr>
      <t xml:space="preserve">'</t>
    </r>
    <r>
      <rPr>
        <sz val="9"/>
        <color rgb="FF203040"/>
        <rFont val="WenQuanYi Zen Hei"/>
        <family val="2"/>
      </rPr>
      <t xml:space="preserve">的答案，一半时候在这张表里（一台炸炉在修）</t>
    </r>
  </si>
  <si>
    <t xml:space="preserve">fct_guest_survey</t>
  </si>
  <si>
    <t xml:space="preserve">顾客调研与评价</t>
  </si>
  <si>
    <r>
      <rPr>
        <sz val="9"/>
        <color rgb="FF203040"/>
        <rFont val="WenQuanYi Zen Hei"/>
        <family val="2"/>
      </rPr>
      <t xml:space="preserve">小票调研 </t>
    </r>
    <r>
      <rPr>
        <sz val="9"/>
        <color rgb="FF203040"/>
        <rFont val="Arial"/>
        <family val="0"/>
        <charset val="1"/>
      </rPr>
      <t xml:space="preserve">+ App + </t>
    </r>
    <r>
      <rPr>
        <sz val="9"/>
        <color rgb="FF203040"/>
        <rFont val="WenQuanYi Zen Hei"/>
        <family val="2"/>
      </rPr>
      <t xml:space="preserve">平台评价</t>
    </r>
  </si>
  <si>
    <r>
      <rPr>
        <sz val="9"/>
        <color rgb="FF203040"/>
        <rFont val="Arial"/>
        <family val="0"/>
        <charset val="1"/>
      </rPr>
      <t xml:space="preserve">1 </t>
    </r>
    <r>
      <rPr>
        <sz val="9"/>
        <color rgb="FF203040"/>
        <rFont val="WenQuanYi Zen Hei"/>
        <family val="2"/>
      </rPr>
      <t xml:space="preserve">行 </t>
    </r>
    <r>
      <rPr>
        <sz val="9"/>
        <color rgb="FF203040"/>
        <rFont val="Arial"/>
        <family val="0"/>
        <charset val="1"/>
      </rPr>
      <t xml:space="preserve">= 1 </t>
    </r>
    <r>
      <rPr>
        <sz val="9"/>
        <color rgb="FF203040"/>
        <rFont val="WenQuanYi Zen Hei"/>
        <family val="2"/>
      </rPr>
      <t xml:space="preserve">份反馈</t>
    </r>
  </si>
  <si>
    <t xml:space="preserve">10 ~ 60</t>
  </si>
  <si>
    <t xml:space="preserve">唯一一个不来自门店自己系统的分数。它和内部指标背离时，通常是内部口径出了问题</t>
  </si>
  <si>
    <t xml:space="preserve">fct_cash_declaration</t>
  </si>
  <si>
    <t xml:space="preserve">现金交接</t>
  </si>
  <si>
    <t xml:space="preserve">现金与日结</t>
  </si>
  <si>
    <r>
      <rPr>
        <sz val="9"/>
        <color rgb="FF203040"/>
        <rFont val="Arial"/>
        <family val="0"/>
        <charset val="1"/>
      </rPr>
      <t xml:space="preserve">POS </t>
    </r>
    <r>
      <rPr>
        <sz val="9"/>
        <color rgb="FF203040"/>
        <rFont val="WenQuanYi Zen Hei"/>
        <family val="2"/>
      </rPr>
      <t xml:space="preserve">现金管理</t>
    </r>
  </si>
  <si>
    <r>
      <rPr>
        <sz val="9"/>
        <color rgb="FF203040"/>
        <rFont val="Arial"/>
        <family val="0"/>
        <charset val="1"/>
      </rPr>
      <t xml:space="preserve">1 </t>
    </r>
    <r>
      <rPr>
        <sz val="9"/>
        <color rgb="FF203040"/>
        <rFont val="WenQuanYi Zen Hei"/>
        <family val="2"/>
      </rPr>
      <t xml:space="preserve">行 </t>
    </r>
    <r>
      <rPr>
        <sz val="9"/>
        <color rgb="FF203040"/>
        <rFont val="Arial"/>
        <family val="0"/>
        <charset val="1"/>
      </rPr>
      <t xml:space="preserve">= 1 </t>
    </r>
    <r>
      <rPr>
        <sz val="9"/>
        <color rgb="FF203040"/>
        <rFont val="WenQuanYi Zen Hei"/>
        <family val="2"/>
      </rPr>
      <t xml:space="preserve">次钱箱交接</t>
    </r>
  </si>
  <si>
    <t xml:space="preserve">每班</t>
  </si>
  <si>
    <t xml:space="preserve">3 ~ 8</t>
  </si>
  <si>
    <t xml:space="preserve">现金短溢是内控红线，金额小但性质重</t>
  </si>
  <si>
    <t xml:space="preserve">fct_daily_sales_summary</t>
  </si>
  <si>
    <r>
      <rPr>
        <sz val="9"/>
        <color rgb="FF203040"/>
        <rFont val="WenQuanYi Zen Hei"/>
        <family val="2"/>
      </rPr>
      <t xml:space="preserve">日结汇总 </t>
    </r>
    <r>
      <rPr>
        <sz val="9"/>
        <color rgb="FF203040"/>
        <rFont val="Arial"/>
        <family val="0"/>
        <charset val="1"/>
      </rPr>
      <t xml:space="preserve">(DSR)</t>
    </r>
  </si>
  <si>
    <t xml:space="preserve">agg</t>
  </si>
  <si>
    <r>
      <rPr>
        <sz val="9"/>
        <color rgb="FF203040"/>
        <rFont val="WenQuanYi Zen Hei"/>
        <family val="2"/>
      </rPr>
      <t xml:space="preserve">由上述 </t>
    </r>
    <r>
      <rPr>
        <sz val="9"/>
        <color rgb="FF203040"/>
        <rFont val="Arial"/>
        <family val="0"/>
        <charset val="1"/>
      </rPr>
      <t xml:space="preserve">fct </t>
    </r>
    <r>
      <rPr>
        <sz val="9"/>
        <color rgb="FF203040"/>
        <rFont val="WenQuanYi Zen Hei"/>
        <family val="2"/>
      </rPr>
      <t xml:space="preserve">表汇总</t>
    </r>
  </si>
  <si>
    <r>
      <rPr>
        <sz val="9"/>
        <color rgb="FF203040"/>
        <rFont val="Arial"/>
        <family val="0"/>
        <charset val="1"/>
      </rPr>
      <t xml:space="preserve">1 </t>
    </r>
    <r>
      <rPr>
        <sz val="9"/>
        <color rgb="FF203040"/>
        <rFont val="WenQuanYi Zen Hei"/>
        <family val="2"/>
      </rPr>
      <t xml:space="preserve">行 </t>
    </r>
    <r>
      <rPr>
        <sz val="9"/>
        <color rgb="FF203040"/>
        <rFont val="Arial"/>
        <family val="0"/>
        <charset val="1"/>
      </rPr>
      <t xml:space="preserve">= 1 </t>
    </r>
    <r>
      <rPr>
        <sz val="9"/>
        <color rgb="FF203040"/>
        <rFont val="WenQuanYi Zen Hei"/>
        <family val="2"/>
      </rPr>
      <t xml:space="preserve">店 </t>
    </r>
    <r>
      <rPr>
        <sz val="9"/>
        <color rgb="FF203040"/>
        <rFont val="Arial"/>
        <family val="0"/>
        <charset val="1"/>
      </rPr>
      <t xml:space="preserve">1 </t>
    </r>
    <r>
      <rPr>
        <sz val="9"/>
        <color rgb="FF203040"/>
        <rFont val="WenQuanYi Zen Hei"/>
        <family val="2"/>
      </rPr>
      <t xml:space="preserve">天</t>
    </r>
  </si>
  <si>
    <t xml:space="preserve">日结后生成</t>
  </si>
  <si>
    <t xml:space="preserve">1</t>
  </si>
  <si>
    <t xml:space="preserve">对账口径的定稿：财务、总部、门店三方看同一行数</t>
  </si>
  <si>
    <t xml:space="preserve">agg_metric_interval</t>
  </si>
  <si>
    <r>
      <rPr>
        <sz val="9"/>
        <color rgb="FF203040"/>
        <rFont val="WenQuanYi Zen Hei"/>
        <family val="2"/>
      </rPr>
      <t xml:space="preserve">指标 </t>
    </r>
    <r>
      <rPr>
        <sz val="9"/>
        <color rgb="FF203040"/>
        <rFont val="Arial"/>
        <family val="0"/>
        <charset val="1"/>
      </rPr>
      <t xml:space="preserve">× 15</t>
    </r>
    <r>
      <rPr>
        <sz val="9"/>
        <color rgb="FF203040"/>
        <rFont val="WenQuanYi Zen Hei"/>
        <family val="2"/>
      </rPr>
      <t xml:space="preserve">分钟时段</t>
    </r>
  </si>
  <si>
    <t xml:space="preserve">聚合</t>
  </si>
  <si>
    <r>
      <rPr>
        <sz val="9"/>
        <color rgb="FF203040"/>
        <rFont val="WenQuanYi Zen Hei"/>
        <family val="2"/>
      </rPr>
      <t xml:space="preserve">本 </t>
    </r>
    <r>
      <rPr>
        <sz val="9"/>
        <color rgb="FF203040"/>
        <rFont val="Arial"/>
        <family val="0"/>
        <charset val="1"/>
      </rPr>
      <t xml:space="preserve">package </t>
    </r>
    <r>
      <rPr>
        <sz val="9"/>
        <color rgb="FF203040"/>
        <rFont val="WenQuanYi Zen Hei"/>
        <family val="2"/>
      </rPr>
      <t xml:space="preserve">的指标引擎</t>
    </r>
  </si>
  <si>
    <r>
      <rPr>
        <sz val="9"/>
        <color rgb="FF203040"/>
        <rFont val="Arial"/>
        <family val="0"/>
        <charset val="1"/>
      </rPr>
      <t xml:space="preserve">1 </t>
    </r>
    <r>
      <rPr>
        <sz val="9"/>
        <color rgb="FF203040"/>
        <rFont val="WenQuanYi Zen Hei"/>
        <family val="2"/>
      </rPr>
      <t xml:space="preserve">行 </t>
    </r>
    <r>
      <rPr>
        <sz val="9"/>
        <color rgb="FF203040"/>
        <rFont val="Arial"/>
        <family val="0"/>
        <charset val="1"/>
      </rPr>
      <t xml:space="preserve">= </t>
    </r>
    <r>
      <rPr>
        <sz val="9"/>
        <color rgb="FF203040"/>
        <rFont val="WenQuanYi Zen Hei"/>
        <family val="2"/>
      </rPr>
      <t xml:space="preserve">门店 </t>
    </r>
    <r>
      <rPr>
        <sz val="9"/>
        <color rgb="FF203040"/>
        <rFont val="Arial"/>
        <family val="0"/>
        <charset val="1"/>
      </rPr>
      <t xml:space="preserve">× </t>
    </r>
    <r>
      <rPr>
        <sz val="9"/>
        <color rgb="FF203040"/>
        <rFont val="WenQuanYi Zen Hei"/>
        <family val="2"/>
      </rPr>
      <t xml:space="preserve">营业日 </t>
    </r>
    <r>
      <rPr>
        <sz val="9"/>
        <color rgb="FF203040"/>
        <rFont val="Arial"/>
        <family val="0"/>
        <charset val="1"/>
      </rPr>
      <t xml:space="preserve">× 15</t>
    </r>
    <r>
      <rPr>
        <sz val="9"/>
        <color rgb="FF203040"/>
        <rFont val="WenQuanYi Zen Hei"/>
        <family val="2"/>
      </rPr>
      <t xml:space="preserve">分钟 </t>
    </r>
    <r>
      <rPr>
        <sz val="9"/>
        <color rgb="FF203040"/>
        <rFont val="Arial"/>
        <family val="0"/>
        <charset val="1"/>
      </rPr>
      <t xml:space="preserve">× </t>
    </r>
    <r>
      <rPr>
        <sz val="9"/>
        <color rgb="FF203040"/>
        <rFont val="WenQuanYi Zen Hei"/>
        <family val="2"/>
      </rPr>
      <t xml:space="preserve">指标</t>
    </r>
  </si>
  <si>
    <r>
      <rPr>
        <sz val="9"/>
        <color rgb="FF203040"/>
        <rFont val="Arial"/>
        <family val="0"/>
        <charset val="1"/>
      </rPr>
      <t xml:space="preserve">15 </t>
    </r>
    <r>
      <rPr>
        <sz val="9"/>
        <color rgb="FF203040"/>
        <rFont val="WenQuanYi Zen Hei"/>
        <family val="2"/>
      </rPr>
      <t xml:space="preserve">分钟</t>
    </r>
  </si>
  <si>
    <r>
      <rPr>
        <sz val="9"/>
        <color rgb="FF203040"/>
        <rFont val="WenQuanYi Zen Hei"/>
        <family val="2"/>
      </rPr>
      <t xml:space="preserve">约 </t>
    </r>
    <r>
      <rPr>
        <sz val="9"/>
        <color rgb="FF203040"/>
        <rFont val="Arial"/>
        <family val="0"/>
        <charset val="1"/>
      </rPr>
      <t xml:space="preserve">2500</t>
    </r>
  </si>
  <si>
    <t xml:space="preserve">时段矩阵（看板上那张热力图）的物理落地。日总数正常但某两个时段崩了——只有这张表看得见</t>
  </si>
  <si>
    <t xml:space="preserve">agg_metric_dim</t>
  </si>
  <si>
    <r>
      <rPr>
        <sz val="9"/>
        <color rgb="FF203040"/>
        <rFont val="WenQuanYi Zen Hei"/>
        <family val="2"/>
      </rPr>
      <t xml:space="preserve">指标 </t>
    </r>
    <r>
      <rPr>
        <sz val="9"/>
        <color rgb="FF203040"/>
        <rFont val="Arial"/>
        <family val="0"/>
        <charset val="1"/>
      </rPr>
      <t xml:space="preserve">× </t>
    </r>
    <r>
      <rPr>
        <sz val="9"/>
        <color rgb="FF203040"/>
        <rFont val="WenQuanYi Zen Hei"/>
        <family val="2"/>
      </rPr>
      <t xml:space="preserve">下钻维度</t>
    </r>
  </si>
  <si>
    <r>
      <rPr>
        <sz val="9"/>
        <color rgb="FF203040"/>
        <rFont val="Arial"/>
        <family val="0"/>
        <charset val="1"/>
      </rPr>
      <t xml:space="preserve">1 </t>
    </r>
    <r>
      <rPr>
        <sz val="9"/>
        <color rgb="FF203040"/>
        <rFont val="WenQuanYi Zen Hei"/>
        <family val="2"/>
      </rPr>
      <t xml:space="preserve">行 </t>
    </r>
    <r>
      <rPr>
        <sz val="9"/>
        <color rgb="FF203040"/>
        <rFont val="Arial"/>
        <family val="0"/>
        <charset val="1"/>
      </rPr>
      <t xml:space="preserve">= </t>
    </r>
    <r>
      <rPr>
        <sz val="9"/>
        <color rgb="FF203040"/>
        <rFont val="WenQuanYi Zen Hei"/>
        <family val="2"/>
      </rPr>
      <t xml:space="preserve">门店 </t>
    </r>
    <r>
      <rPr>
        <sz val="9"/>
        <color rgb="FF203040"/>
        <rFont val="Arial"/>
        <family val="0"/>
        <charset val="1"/>
      </rPr>
      <t xml:space="preserve">× </t>
    </r>
    <r>
      <rPr>
        <sz val="9"/>
        <color rgb="FF203040"/>
        <rFont val="WenQuanYi Zen Hei"/>
        <family val="2"/>
      </rPr>
      <t xml:space="preserve">营业日 </t>
    </r>
    <r>
      <rPr>
        <sz val="9"/>
        <color rgb="FF203040"/>
        <rFont val="Arial"/>
        <family val="0"/>
        <charset val="1"/>
      </rPr>
      <t xml:space="preserve">× </t>
    </r>
    <r>
      <rPr>
        <sz val="9"/>
        <color rgb="FF203040"/>
        <rFont val="WenQuanYi Zen Hei"/>
        <family val="2"/>
      </rPr>
      <t xml:space="preserve">指标 </t>
    </r>
    <r>
      <rPr>
        <sz val="9"/>
        <color rgb="FF203040"/>
        <rFont val="Arial"/>
        <family val="0"/>
        <charset val="1"/>
      </rPr>
      <t xml:space="preserve">× </t>
    </r>
    <r>
      <rPr>
        <sz val="9"/>
        <color rgb="FF203040"/>
        <rFont val="WenQuanYi Zen Hei"/>
        <family val="2"/>
      </rPr>
      <t xml:space="preserve">维度 </t>
    </r>
    <r>
      <rPr>
        <sz val="9"/>
        <color rgb="FF203040"/>
        <rFont val="Arial"/>
        <family val="0"/>
        <charset val="1"/>
      </rPr>
      <t xml:space="preserve">× </t>
    </r>
    <r>
      <rPr>
        <sz val="9"/>
        <color rgb="FF203040"/>
        <rFont val="WenQuanYi Zen Hei"/>
        <family val="2"/>
      </rPr>
      <t xml:space="preserve">维度值</t>
    </r>
  </si>
  <si>
    <r>
      <rPr>
        <sz val="9"/>
        <color rgb="FF203040"/>
        <rFont val="WenQuanYi Zen Hei"/>
        <family val="2"/>
      </rPr>
      <t xml:space="preserve">日批 </t>
    </r>
    <r>
      <rPr>
        <sz val="9"/>
        <color rgb="FF203040"/>
        <rFont val="Arial"/>
        <family val="0"/>
        <charset val="1"/>
      </rPr>
      <t xml:space="preserve">+ </t>
    </r>
    <r>
      <rPr>
        <sz val="9"/>
        <color rgb="FF203040"/>
        <rFont val="WenQuanYi Zen Hei"/>
        <family val="2"/>
      </rPr>
      <t xml:space="preserve">日内滚动</t>
    </r>
  </si>
  <si>
    <r>
      <rPr>
        <sz val="9"/>
        <color rgb="FF203040"/>
        <rFont val="WenQuanYi Zen Hei"/>
        <family val="2"/>
      </rPr>
      <t xml:space="preserve">约 </t>
    </r>
    <r>
      <rPr>
        <sz val="9"/>
        <color rgb="FF203040"/>
        <rFont val="Arial"/>
        <family val="0"/>
        <charset val="1"/>
      </rPr>
      <t xml:space="preserve">800</t>
    </r>
  </si>
  <si>
    <r>
      <rPr>
        <sz val="9"/>
        <color rgb="FF203040"/>
        <rFont val="WenQuanYi Zen Hei"/>
        <family val="2"/>
      </rPr>
      <t xml:space="preserve">归因矩阵（指标 </t>
    </r>
    <r>
      <rPr>
        <sz val="9"/>
        <color rgb="FF203040"/>
        <rFont val="Arial"/>
        <family val="0"/>
        <charset val="1"/>
      </rPr>
      <t xml:space="preserve">× </t>
    </r>
    <r>
      <rPr>
        <sz val="9"/>
        <color rgb="FF203040"/>
        <rFont val="WenQuanYi Zen Hei"/>
        <family val="2"/>
      </rPr>
      <t xml:space="preserve">渠道 </t>
    </r>
    <r>
      <rPr>
        <sz val="9"/>
        <color rgb="FF203040"/>
        <rFont val="Arial"/>
        <family val="0"/>
        <charset val="1"/>
      </rPr>
      <t xml:space="preserve">/ </t>
    </r>
    <r>
      <rPr>
        <sz val="9"/>
        <color rgb="FF203040"/>
        <rFont val="WenQuanYi Zen Hei"/>
        <family val="2"/>
      </rPr>
      <t xml:space="preserve">品类 </t>
    </r>
    <r>
      <rPr>
        <sz val="9"/>
        <color rgb="FF203040"/>
        <rFont val="Arial"/>
        <family val="0"/>
        <charset val="1"/>
      </rPr>
      <t xml:space="preserve">/ </t>
    </r>
    <r>
      <rPr>
        <sz val="9"/>
        <color rgb="FF203040"/>
        <rFont val="WenQuanYi Zen Hei"/>
        <family val="2"/>
      </rPr>
      <t xml:space="preserve">岗位 </t>
    </r>
    <r>
      <rPr>
        <sz val="9"/>
        <color rgb="FF203040"/>
        <rFont val="Arial"/>
        <family val="0"/>
        <charset val="1"/>
      </rPr>
      <t xml:space="preserve">/ </t>
    </r>
    <r>
      <rPr>
        <sz val="9"/>
        <color rgb="FF203040"/>
        <rFont val="WenQuanYi Zen Hei"/>
        <family val="2"/>
      </rPr>
      <t xml:space="preserve">人）的物理落地</t>
    </r>
  </si>
  <si>
    <r>
      <rPr>
        <b val="true"/>
        <sz val="16"/>
        <color rgb="FFFFFFFF"/>
        <rFont val="WenQuanYi Zen Hei"/>
        <family val="2"/>
      </rPr>
      <t xml:space="preserve">门店运营报表包 </t>
    </r>
    <r>
      <rPr>
        <b val="true"/>
        <sz val="16"/>
        <color rgb="FFFFFFFF"/>
        <rFont val="Arial"/>
        <family val="0"/>
        <charset val="1"/>
      </rPr>
      <t xml:space="preserve">· </t>
    </r>
    <r>
      <rPr>
        <b val="true"/>
        <sz val="16"/>
        <color rgb="FFFFFFFF"/>
        <rFont val="WenQuanYi Zen Hei"/>
        <family val="2"/>
      </rPr>
      <t xml:space="preserve">使用说明</t>
    </r>
  </si>
  <si>
    <t xml:space="preserve">本工作簿是快餐门店运营的通用模拟模板，不代表任何特定品牌的真实数据或内部标准；所有阈值均为示例，须按各自门店预算、合同与当地法规替换。</t>
  </si>
  <si>
    <r>
      <rPr>
        <b val="true"/>
        <sz val="10.5"/>
        <color rgb="FF203040"/>
        <rFont val="Arial"/>
        <family val="0"/>
        <charset val="1"/>
      </rPr>
      <t xml:space="preserve">0. </t>
    </r>
    <r>
      <rPr>
        <b val="true"/>
        <sz val="10.5"/>
        <color rgb="FF203040"/>
        <rFont val="WenQuanYi Zen Hei"/>
        <family val="2"/>
      </rPr>
      <t xml:space="preserve">怎么用这本工作簿</t>
    </r>
  </si>
  <si>
    <t xml:space="preserve">① 先改「目标与口径」</t>
  </si>
  <si>
    <t xml:space="preserve">那是全本唯一的阈值来源。改一个绿线，看板、优先级矩阵、所有归因表的红黄绿会一起变。</t>
  </si>
  <si>
    <t xml:space="preserve">② 每天填「每日经营日报」</t>
  </si>
  <si>
    <t xml:space="preserve">只填浅蓝色格子（原子数）。白色格子是公式，会自己算，别覆盖。</t>
  </si>
  <si>
    <t xml:space="preserve">③ 早会看「店长看板」</t>
  </si>
  <si>
    <r>
      <rPr>
        <sz val="9"/>
        <color rgb="FF203040"/>
        <rFont val="WenQuanYi Zen Hei"/>
        <family val="2"/>
      </rPr>
      <t xml:space="preserve">四个数 </t>
    </r>
    <r>
      <rPr>
        <sz val="9"/>
        <color rgb="FF203040"/>
        <rFont val="Arial"/>
        <family val="0"/>
        <charset val="1"/>
      </rPr>
      <t xml:space="preserve">+ </t>
    </r>
    <r>
      <rPr>
        <sz val="9"/>
        <color rgb="FF203040"/>
        <rFont val="WenQuanYi Zen Hei"/>
        <family val="2"/>
      </rPr>
      <t xml:space="preserve">六盏灯 </t>
    </r>
    <r>
      <rPr>
        <sz val="9"/>
        <color rgb="FF203040"/>
        <rFont val="Arial"/>
        <family val="0"/>
        <charset val="1"/>
      </rPr>
      <t xml:space="preserve">+ </t>
    </r>
    <r>
      <rPr>
        <sz val="9"/>
        <color rgb="FF203040"/>
        <rFont val="WenQuanYi Zen Hei"/>
        <family val="2"/>
      </rPr>
      <t xml:space="preserve">今天的三件事。看完就去干活，别在这里停留超过 </t>
    </r>
    <r>
      <rPr>
        <sz val="9"/>
        <color rgb="FF203040"/>
        <rFont val="Arial"/>
        <family val="0"/>
        <charset val="1"/>
      </rPr>
      <t xml:space="preserve">1 </t>
    </r>
    <r>
      <rPr>
        <sz val="9"/>
        <color rgb="FF203040"/>
        <rFont val="WenQuanYi Zen Hei"/>
        <family val="2"/>
      </rPr>
      <t xml:space="preserve">分钟。</t>
    </r>
  </si>
  <si>
    <t xml:space="preserve">④ 要找原因才翻矩阵</t>
  </si>
  <si>
    <r>
      <rPr>
        <sz val="9"/>
        <color rgb="FF203040"/>
        <rFont val="WenQuanYi Zen Hei"/>
        <family val="2"/>
      </rPr>
      <t xml:space="preserve">时段矩阵找“哪半小时崩了”，交叉矩阵找“哪个渠道 </t>
    </r>
    <r>
      <rPr>
        <sz val="9"/>
        <color rgb="FF203040"/>
        <rFont val="Arial"/>
        <family val="0"/>
        <charset val="1"/>
      </rPr>
      <t xml:space="preserve">× </t>
    </r>
    <r>
      <rPr>
        <sz val="9"/>
        <color rgb="FF203040"/>
        <rFont val="WenQuanYi Zen Hei"/>
        <family val="2"/>
      </rPr>
      <t xml:space="preserve">哪个时段”，归因矩阵找“哪一格拖了全店最多”。</t>
    </r>
  </si>
  <si>
    <t xml:space="preserve">⑤ 「报表清单」是节奏表</t>
  </si>
  <si>
    <t xml:space="preserve">谁在什么时间看哪张表、看完做什么。新店长交接先看它。</t>
  </si>
  <si>
    <r>
      <rPr>
        <b val="true"/>
        <sz val="10.5"/>
        <color rgb="FF203040"/>
        <rFont val="Arial"/>
        <family val="0"/>
        <charset val="1"/>
      </rPr>
      <t xml:space="preserve">1. </t>
    </r>
    <r>
      <rPr>
        <b val="true"/>
        <sz val="10.5"/>
        <color rgb="FF203040"/>
        <rFont val="WenQuanYi Zen Hei"/>
        <family val="2"/>
      </rPr>
      <t xml:space="preserve">颜色与格式约定</t>
    </r>
  </si>
  <si>
    <t xml:space="preserve">标记</t>
  </si>
  <si>
    <t xml:space="preserve">说明</t>
  </si>
  <si>
    <t xml:space="preserve">浅蓝底</t>
  </si>
  <si>
    <t xml:space="preserve">可编辑输入</t>
  </si>
  <si>
    <r>
      <rPr>
        <sz val="9"/>
        <color rgb="FF203040"/>
        <rFont val="WenQuanYi Zen Hei"/>
        <family val="2"/>
      </rPr>
      <t xml:space="preserve">原子数：净销售、交易笔数、工时、废弃金额…… 每天由店长</t>
    </r>
    <r>
      <rPr>
        <sz val="9"/>
        <color rgb="FF203040"/>
        <rFont val="Arial"/>
        <family val="0"/>
        <charset val="1"/>
      </rPr>
      <t xml:space="preserve">/</t>
    </r>
    <r>
      <rPr>
        <sz val="9"/>
        <color rgb="FF203040"/>
        <rFont val="WenQuanYi Zen Hei"/>
        <family val="2"/>
      </rPr>
      <t xml:space="preserve">系统填入</t>
    </r>
  </si>
  <si>
    <t xml:space="preserve">白底</t>
  </si>
  <si>
    <t xml:space="preserve">公式</t>
  </si>
  <si>
    <r>
      <rPr>
        <sz val="9"/>
        <color rgb="FF203040"/>
        <rFont val="WenQuanYi Zen Hei"/>
        <family val="2"/>
      </rPr>
      <t xml:space="preserve">派生指标：客单价、达成率、成本率、</t>
    </r>
    <r>
      <rPr>
        <sz val="9"/>
        <color rgb="FF203040"/>
        <rFont val="Arial"/>
        <family val="0"/>
        <charset val="1"/>
      </rPr>
      <t xml:space="preserve">SPLH</t>
    </r>
    <r>
      <rPr>
        <sz val="9"/>
        <color rgb="FF203040"/>
        <rFont val="WenQuanYi Zen Hei"/>
        <family val="2"/>
      </rPr>
      <t xml:space="preserve">、状态灯…… 自动计算，不要手改</t>
    </r>
  </si>
  <si>
    <t xml:space="preserve">达标</t>
  </si>
  <si>
    <t xml:space="preserve">在绿线以内</t>
  </si>
  <si>
    <t xml:space="preserve">关注</t>
  </si>
  <si>
    <r>
      <rPr>
        <sz val="9"/>
        <color rgb="FF203040"/>
        <rFont val="WenQuanYi Zen Hei"/>
        <family val="2"/>
      </rPr>
      <t xml:space="preserve">越过绿线但没到红线；单日出现是噪声，连续 </t>
    </r>
    <r>
      <rPr>
        <sz val="9"/>
        <color rgb="FF203040"/>
        <rFont val="Arial"/>
        <family val="0"/>
        <charset val="1"/>
      </rPr>
      <t xml:space="preserve">3 </t>
    </r>
    <r>
      <rPr>
        <sz val="9"/>
        <color rgb="FF203040"/>
        <rFont val="WenQuanYi Zen Hei"/>
        <family val="2"/>
      </rPr>
      <t xml:space="preserve">天才是信号</t>
    </r>
  </si>
  <si>
    <t xml:space="preserve">告警</t>
  </si>
  <si>
    <t xml:space="preserve">越过红线；当天必须有动作或有上报</t>
  </si>
  <si>
    <r>
      <rPr>
        <b val="true"/>
        <sz val="10.5"/>
        <color rgb="FF203040"/>
        <rFont val="Arial"/>
        <family val="0"/>
        <charset val="1"/>
      </rPr>
      <t xml:space="preserve">2. </t>
    </r>
    <r>
      <rPr>
        <b val="true"/>
        <sz val="10.5"/>
        <color rgb="FF203040"/>
        <rFont val="WenQuanYi Zen Hei"/>
        <family val="2"/>
      </rPr>
      <t xml:space="preserve">一天的管理节奏（详见「报表清单」）</t>
    </r>
  </si>
  <si>
    <t xml:space="preserve">时间点</t>
  </si>
  <si>
    <t xml:space="preserve">看什么</t>
  </si>
  <si>
    <t xml:space="preserve">重点问题</t>
  </si>
  <si>
    <t xml:space="preserve">输出</t>
  </si>
  <si>
    <t xml:space="preserve">时长</t>
  </si>
  <si>
    <t xml:space="preserve">数据来源</t>
  </si>
  <si>
    <t xml:space="preserve">负责人</t>
  </si>
  <si>
    <t xml:space="preserve">完成</t>
  </si>
  <si>
    <r>
      <rPr>
        <sz val="9"/>
        <color rgb="FF203040"/>
        <rFont val="WenQuanYi Zen Hei"/>
        <family val="2"/>
      </rPr>
      <t xml:space="preserve">昨日日结一页纸 </t>
    </r>
    <r>
      <rPr>
        <sz val="9"/>
        <color rgb="FF203040"/>
        <rFont val="Arial"/>
        <family val="0"/>
        <charset val="1"/>
      </rPr>
      <t xml:space="preserve">(DSR)</t>
    </r>
  </si>
  <si>
    <r>
      <rPr>
        <sz val="9"/>
        <color rgb="FF203040"/>
        <rFont val="Arial"/>
        <family val="0"/>
        <charset val="1"/>
      </rPr>
      <t xml:space="preserve">5 </t>
    </r>
    <r>
      <rPr>
        <sz val="9"/>
        <color rgb="FF203040"/>
        <rFont val="WenQuanYi Zen Hei"/>
        <family val="2"/>
      </rPr>
      <t xml:space="preserve">分钟</t>
    </r>
  </si>
  <si>
    <r>
      <rPr>
        <sz val="9"/>
        <color rgb="FF203040"/>
        <rFont val="Arial"/>
        <family val="0"/>
        <charset val="1"/>
      </rPr>
      <t xml:space="preserve">fct_daily_sales_summary</t>
    </r>
    <r>
      <rPr>
        <sz val="9"/>
        <color rgb="FF203040"/>
        <rFont val="WenQuanYi Zen Hei"/>
        <family val="2"/>
      </rPr>
      <t xml:space="preserve">、</t>
    </r>
    <r>
      <rPr>
        <sz val="9"/>
        <color rgb="FF203040"/>
        <rFont val="Arial"/>
        <family val="0"/>
        <charset val="1"/>
      </rPr>
      <t xml:space="preserve">agg_food_cost_day</t>
    </r>
  </si>
  <si>
    <t xml:space="preserve">☐</t>
  </si>
  <si>
    <r>
      <rPr>
        <sz val="9"/>
        <color rgb="FF203040"/>
        <rFont val="WenQuanYi Zen Hei"/>
        <family val="2"/>
      </rPr>
      <t xml:space="preserve">今日销售预测 </t>
    </r>
    <r>
      <rPr>
        <sz val="9"/>
        <color rgb="FF203040"/>
        <rFont val="Arial"/>
        <family val="0"/>
        <charset val="1"/>
      </rPr>
      <t xml:space="preserve">× </t>
    </r>
    <r>
      <rPr>
        <sz val="9"/>
        <color rgb="FF203040"/>
        <rFont val="WenQuanYi Zen Hei"/>
        <family val="2"/>
      </rPr>
      <t xml:space="preserve">排班对照表</t>
    </r>
  </si>
  <si>
    <r>
      <rPr>
        <sz val="9"/>
        <color rgb="FF203040"/>
        <rFont val="WenQuanYi Zen Hei"/>
        <family val="2"/>
      </rPr>
      <t xml:space="preserve">高峰前 </t>
    </r>
    <r>
      <rPr>
        <sz val="9"/>
        <color rgb="FF203040"/>
        <rFont val="Arial"/>
        <family val="0"/>
        <charset val="1"/>
      </rPr>
      <t xml:space="preserve">30 </t>
    </r>
    <r>
      <rPr>
        <sz val="9"/>
        <color rgb="FF203040"/>
        <rFont val="WenQuanYi Zen Hei"/>
        <family val="2"/>
      </rPr>
      <t xml:space="preserve">分钟人力缺口 </t>
    </r>
    <r>
      <rPr>
        <sz val="9"/>
        <color rgb="FF203040"/>
        <rFont val="Arial"/>
        <family val="0"/>
        <charset val="1"/>
      </rPr>
      <t xml:space="preserve">&gt; 1 </t>
    </r>
    <r>
      <rPr>
        <sz val="9"/>
        <color rgb="FF203040"/>
        <rFont val="WenQuanYi Zen Hei"/>
        <family val="2"/>
      </rPr>
      <t xml:space="preserve">人 → 现在就打电话调班，不要等到高峰再</t>
    </r>
  </si>
  <si>
    <r>
      <rPr>
        <sz val="9"/>
        <color rgb="FF203040"/>
        <rFont val="Arial"/>
        <family val="0"/>
        <charset val="1"/>
      </rPr>
      <t xml:space="preserve">8 </t>
    </r>
    <r>
      <rPr>
        <sz val="9"/>
        <color rgb="FF203040"/>
        <rFont val="WenQuanYi Zen Hei"/>
        <family val="2"/>
      </rPr>
      <t xml:space="preserve">分钟</t>
    </r>
  </si>
  <si>
    <r>
      <rPr>
        <sz val="9"/>
        <color rgb="FF203040"/>
        <rFont val="Arial"/>
        <family val="0"/>
        <charset val="1"/>
      </rPr>
      <t xml:space="preserve">dim_sales_forecast</t>
    </r>
    <r>
      <rPr>
        <sz val="9"/>
        <color rgb="FF203040"/>
        <rFont val="WenQuanYi Zen Hei"/>
        <family val="2"/>
      </rPr>
      <t xml:space="preserve">、</t>
    </r>
    <r>
      <rPr>
        <sz val="9"/>
        <color rgb="FF203040"/>
        <rFont val="Arial"/>
        <family val="0"/>
        <charset val="1"/>
      </rPr>
      <t xml:space="preserve">fct_schedule</t>
    </r>
  </si>
  <si>
    <r>
      <rPr>
        <sz val="9"/>
        <color rgb="FF203040"/>
        <rFont val="WenQuanYi Zen Hei"/>
        <family val="2"/>
      </rPr>
      <t xml:space="preserve">关键项任意一项 </t>
    </r>
    <r>
      <rPr>
        <sz val="9"/>
        <color rgb="FF203040"/>
        <rFont val="Arial"/>
        <family val="0"/>
        <charset val="1"/>
      </rPr>
      <t xml:space="preserve">fail = </t>
    </r>
    <r>
      <rPr>
        <sz val="9"/>
        <color rgb="FF203040"/>
        <rFont val="WenQuanYi Zen Hei"/>
        <family val="2"/>
      </rPr>
      <t xml:space="preserve">停止该产品出品并立即整改。这张表没有</t>
    </r>
    <r>
      <rPr>
        <sz val="9"/>
        <color rgb="FF203040"/>
        <rFont val="Arial"/>
        <family val="0"/>
        <charset val="1"/>
      </rPr>
      <t xml:space="preserve">'</t>
    </r>
    <r>
      <rPr>
        <sz val="9"/>
        <color rgb="FF203040"/>
        <rFont val="WenQuanYi Zen Hei"/>
        <family val="2"/>
      </rPr>
      <t xml:space="preserve">先记着</t>
    </r>
    <r>
      <rPr>
        <sz val="9"/>
        <color rgb="FF203040"/>
        <rFont val="Arial"/>
        <family val="0"/>
        <charset val="1"/>
      </rPr>
      <t xml:space="preserve">'</t>
    </r>
  </si>
  <si>
    <r>
      <rPr>
        <sz val="9"/>
        <color rgb="FF203040"/>
        <rFont val="Arial"/>
        <family val="0"/>
        <charset val="1"/>
      </rPr>
      <t xml:space="preserve">10 </t>
    </r>
    <r>
      <rPr>
        <sz val="9"/>
        <color rgb="FF203040"/>
        <rFont val="WenQuanYi Zen Hei"/>
        <family val="2"/>
      </rPr>
      <t xml:space="preserve">分钟</t>
    </r>
  </si>
  <si>
    <r>
      <rPr>
        <sz val="9"/>
        <color rgb="FF203040"/>
        <rFont val="Arial"/>
        <family val="0"/>
        <charset val="1"/>
      </rPr>
      <t xml:space="preserve">fct_food_safety_check</t>
    </r>
    <r>
      <rPr>
        <sz val="9"/>
        <color rgb="FF203040"/>
        <rFont val="WenQuanYi Zen Hei"/>
        <family val="2"/>
      </rPr>
      <t xml:space="preserve">、</t>
    </r>
    <r>
      <rPr>
        <sz val="9"/>
        <color rgb="FF203040"/>
        <rFont val="Arial"/>
        <family val="0"/>
        <charset val="1"/>
      </rPr>
      <t xml:space="preserve">fct_temperature_log</t>
    </r>
  </si>
  <si>
    <t xml:space="preserve">关键品缺口 → 调整备货计划</t>
  </si>
  <si>
    <r>
      <rPr>
        <sz val="9"/>
        <color rgb="FF203040"/>
        <rFont val="Arial"/>
        <family val="0"/>
        <charset val="1"/>
      </rPr>
      <t xml:space="preserve">fct_inventory_count</t>
    </r>
    <r>
      <rPr>
        <sz val="9"/>
        <color rgb="FF203040"/>
        <rFont val="WenQuanYi Zen Hei"/>
        <family val="2"/>
      </rPr>
      <t xml:space="preserve">、</t>
    </r>
    <r>
      <rPr>
        <sz val="9"/>
        <color rgb="FF203040"/>
        <rFont val="Arial"/>
        <family val="0"/>
        <charset val="1"/>
      </rPr>
      <t xml:space="preserve">dim_sales_forecast</t>
    </r>
  </si>
  <si>
    <r>
      <rPr>
        <sz val="9"/>
        <color rgb="FF203040"/>
        <rFont val="WenQuanYi Zen Hei"/>
        <family val="2"/>
      </rPr>
      <t xml:space="preserve">实时销售 </t>
    </r>
    <r>
      <rPr>
        <sz val="9"/>
        <color rgb="FF203040"/>
        <rFont val="Arial"/>
        <family val="0"/>
        <charset val="1"/>
      </rPr>
      <t xml:space="preserve">vs </t>
    </r>
    <r>
      <rPr>
        <sz val="9"/>
        <color rgb="FF203040"/>
        <rFont val="WenQuanYi Zen Hei"/>
        <family val="2"/>
      </rPr>
      <t xml:space="preserve">预测（日内滚动）</t>
    </r>
  </si>
  <si>
    <r>
      <rPr>
        <sz val="9"/>
        <color rgb="FF203040"/>
        <rFont val="WenQuanYi Zen Hei"/>
        <family val="2"/>
      </rPr>
      <t xml:space="preserve">落后 </t>
    </r>
    <r>
      <rPr>
        <sz val="9"/>
        <color rgb="FF203040"/>
        <rFont val="Arial"/>
        <family val="0"/>
        <charset val="1"/>
      </rPr>
      <t xml:space="preserve">&gt; 5% </t>
    </r>
    <r>
      <rPr>
        <sz val="9"/>
        <color rgb="FF203040"/>
        <rFont val="WenQuanYi Zen Hei"/>
        <family val="2"/>
      </rPr>
      <t xml:space="preserve">且原因在客单价 → 立刻做附加销售动员</t>
    </r>
  </si>
  <si>
    <r>
      <rPr>
        <sz val="9"/>
        <color rgb="FF203040"/>
        <rFont val="Arial"/>
        <family val="0"/>
        <charset val="1"/>
      </rPr>
      <t xml:space="preserve">2 </t>
    </r>
    <r>
      <rPr>
        <sz val="9"/>
        <color rgb="FF203040"/>
        <rFont val="WenQuanYi Zen Hei"/>
        <family val="2"/>
      </rPr>
      <t xml:space="preserve">分钟</t>
    </r>
  </si>
  <si>
    <t xml:space="preserve">窗口时长高 → 后厨备餐没跟上，加人到理货</t>
  </si>
  <si>
    <r>
      <rPr>
        <sz val="9"/>
        <color rgb="FF203040"/>
        <rFont val="Arial"/>
        <family val="0"/>
        <charset val="1"/>
      </rPr>
      <t xml:space="preserve">3 </t>
    </r>
    <r>
      <rPr>
        <sz val="9"/>
        <color rgb="FF203040"/>
        <rFont val="WenQuanYi Zen Hei"/>
        <family val="2"/>
      </rPr>
      <t xml:space="preserve">分钟</t>
    </r>
  </si>
  <si>
    <r>
      <rPr>
        <sz val="9"/>
        <color rgb="FF203040"/>
        <rFont val="Arial"/>
        <family val="0"/>
        <charset val="1"/>
      </rPr>
      <t xml:space="preserve">fct_dt_timer</t>
    </r>
    <r>
      <rPr>
        <sz val="9"/>
        <color rgb="FF203040"/>
        <rFont val="WenQuanYi Zen Hei"/>
        <family val="2"/>
      </rPr>
      <t xml:space="preserve">、</t>
    </r>
    <r>
      <rPr>
        <sz val="9"/>
        <color rgb="FF203040"/>
        <rFont val="Arial"/>
        <family val="0"/>
        <charset val="1"/>
      </rPr>
      <t xml:space="preserve">fct_kds_order</t>
    </r>
  </si>
  <si>
    <r>
      <rPr>
        <sz val="9"/>
        <color rgb="FF203040"/>
        <rFont val="WenQuanYi Zen Hei"/>
        <family val="2"/>
      </rPr>
      <t xml:space="preserve">人力投放与 </t>
    </r>
    <r>
      <rPr>
        <sz val="9"/>
        <color rgb="FF203040"/>
        <rFont val="Arial"/>
        <family val="0"/>
        <charset val="1"/>
      </rPr>
      <t xml:space="preserve">SPLH </t>
    </r>
    <r>
      <rPr>
        <sz val="9"/>
        <color rgb="FF203040"/>
        <rFont val="WenQuanYi Zen Hei"/>
        <family val="2"/>
      </rPr>
      <t xml:space="preserve">追踪</t>
    </r>
  </si>
  <si>
    <r>
      <rPr>
        <sz val="9"/>
        <color rgb="FF203040"/>
        <rFont val="Arial"/>
        <family val="0"/>
        <charset val="1"/>
      </rPr>
      <t xml:space="preserve">SPLH </t>
    </r>
    <r>
      <rPr>
        <sz val="9"/>
        <color rgb="FF203040"/>
        <rFont val="WenQuanYi Zen Hei"/>
        <family val="2"/>
      </rPr>
      <t xml:space="preserve">低 </t>
    </r>
    <r>
      <rPr>
        <sz val="9"/>
        <color rgb="FF203040"/>
        <rFont val="Arial"/>
        <family val="0"/>
        <charset val="1"/>
      </rPr>
      <t xml:space="preserve">+ </t>
    </r>
    <r>
      <rPr>
        <sz val="9"/>
        <color rgb="FF203040"/>
        <rFont val="WenQuanYi Zen Hei"/>
        <family val="2"/>
      </rPr>
      <t xml:space="preserve">速度也差 </t>
    </r>
    <r>
      <rPr>
        <sz val="9"/>
        <color rgb="FF203040"/>
        <rFont val="Arial"/>
        <family val="0"/>
        <charset val="1"/>
      </rPr>
      <t xml:space="preserve">= </t>
    </r>
    <r>
      <rPr>
        <sz val="9"/>
        <color rgb="FF203040"/>
        <rFont val="WenQuanYi Zen Hei"/>
        <family val="2"/>
      </rPr>
      <t xml:space="preserve">排班结构错（不是人不够，是人站错岗）→ 调岗</t>
    </r>
  </si>
  <si>
    <r>
      <rPr>
        <sz val="9"/>
        <color rgb="FF203040"/>
        <rFont val="Arial"/>
        <family val="0"/>
        <charset val="1"/>
      </rPr>
      <t xml:space="preserve">fct_timecard</t>
    </r>
    <r>
      <rPr>
        <sz val="9"/>
        <color rgb="FF203040"/>
        <rFont val="WenQuanYi Zen Hei"/>
        <family val="2"/>
      </rPr>
      <t xml:space="preserve">、</t>
    </r>
    <r>
      <rPr>
        <sz val="9"/>
        <color rgb="FF203040"/>
        <rFont val="Arial"/>
        <family val="0"/>
        <charset val="1"/>
      </rPr>
      <t xml:space="preserve">fct_schedule</t>
    </r>
  </si>
  <si>
    <r>
      <rPr>
        <sz val="9"/>
        <color rgb="FF203040"/>
        <rFont val="WenQuanYi Zen Hei"/>
        <family val="2"/>
      </rPr>
      <t xml:space="preserve">成品废弃高 </t>
    </r>
    <r>
      <rPr>
        <sz val="9"/>
        <color rgb="FF203040"/>
        <rFont val="Arial"/>
        <family val="0"/>
        <charset val="1"/>
      </rPr>
      <t xml:space="preserve">= </t>
    </r>
    <r>
      <rPr>
        <sz val="9"/>
        <color rgb="FF203040"/>
        <rFont val="WenQuanYi Zen Hei"/>
        <family val="2"/>
      </rPr>
      <t xml:space="preserve">备货节奏问题（改批量大小）</t>
    </r>
  </si>
  <si>
    <r>
      <rPr>
        <sz val="9"/>
        <color rgb="FF203040"/>
        <rFont val="Arial"/>
        <family val="0"/>
        <charset val="1"/>
      </rPr>
      <t xml:space="preserve">fct_waste_log</t>
    </r>
    <r>
      <rPr>
        <sz val="9"/>
        <color rgb="FF203040"/>
        <rFont val="WenQuanYi Zen Hei"/>
        <family val="2"/>
      </rPr>
      <t xml:space="preserve">、</t>
    </r>
    <r>
      <rPr>
        <sz val="9"/>
        <color rgb="FF203040"/>
        <rFont val="Arial"/>
        <family val="0"/>
        <charset val="1"/>
      </rPr>
      <t xml:space="preserve">fct_holding_batch</t>
    </r>
  </si>
  <si>
    <t xml:space="preserve">出餐时长超标 → 高峰给外送单独留一个打包位</t>
  </si>
  <si>
    <r>
      <rPr>
        <sz val="9"/>
        <color rgb="FF203040"/>
        <rFont val="Arial"/>
        <family val="0"/>
        <charset val="1"/>
      </rPr>
      <t xml:space="preserve">fct_delivery_order</t>
    </r>
    <r>
      <rPr>
        <sz val="9"/>
        <color rgb="FF203040"/>
        <rFont val="WenQuanYi Zen Hei"/>
        <family val="2"/>
      </rPr>
      <t xml:space="preserve">、</t>
    </r>
    <r>
      <rPr>
        <sz val="9"/>
        <color rgb="FF203040"/>
        <rFont val="Arial"/>
        <family val="0"/>
        <charset val="1"/>
      </rPr>
      <t xml:space="preserve">fct_order_issue</t>
    </r>
  </si>
  <si>
    <r>
      <rPr>
        <sz val="9"/>
        <color rgb="FF203040"/>
        <rFont val="WenQuanYi Zen Hei"/>
        <family val="2"/>
      </rPr>
      <t xml:space="preserve">同一个 </t>
    </r>
    <r>
      <rPr>
        <sz val="9"/>
        <color rgb="FF203040"/>
        <rFont val="Arial"/>
        <family val="0"/>
        <charset val="1"/>
      </rPr>
      <t xml:space="preserve">comment_tag </t>
    </r>
    <r>
      <rPr>
        <sz val="9"/>
        <color rgb="FF203040"/>
        <rFont val="WenQuanYi Zen Hei"/>
        <family val="2"/>
      </rPr>
      <t xml:space="preserve">一周出现 </t>
    </r>
    <r>
      <rPr>
        <sz val="9"/>
        <color rgb="FF203040"/>
        <rFont val="Arial"/>
        <family val="0"/>
        <charset val="1"/>
      </rPr>
      <t xml:space="preserve">3 </t>
    </r>
    <r>
      <rPr>
        <sz val="9"/>
        <color rgb="FF203040"/>
        <rFont val="WenQuanYi Zen Hei"/>
        <family val="2"/>
      </rPr>
      <t xml:space="preserve">次以上 → 它不是个案，是流程</t>
    </r>
  </si>
  <si>
    <r>
      <rPr>
        <sz val="9"/>
        <color rgb="FF203040"/>
        <rFont val="Arial"/>
        <family val="0"/>
        <charset val="1"/>
      </rPr>
      <t xml:space="preserve">fct_guest_survey</t>
    </r>
    <r>
      <rPr>
        <sz val="9"/>
        <color rgb="FF203040"/>
        <rFont val="WenQuanYi Zen Hei"/>
        <family val="2"/>
      </rPr>
      <t xml:space="preserve">、</t>
    </r>
    <r>
      <rPr>
        <sz val="9"/>
        <color rgb="FF203040"/>
        <rFont val="Arial"/>
        <family val="0"/>
        <charset val="1"/>
      </rPr>
      <t xml:space="preserve">fct_order_issue</t>
    </r>
  </si>
  <si>
    <r>
      <rPr>
        <sz val="9"/>
        <color rgb="FF203040"/>
        <rFont val="WenQuanYi Zen Hei"/>
        <family val="2"/>
      </rPr>
      <t xml:space="preserve">闭店日结：销售 </t>
    </r>
    <r>
      <rPr>
        <sz val="9"/>
        <color rgb="FF203040"/>
        <rFont val="Arial"/>
        <family val="0"/>
        <charset val="1"/>
      </rPr>
      <t xml:space="preserve">/ </t>
    </r>
    <r>
      <rPr>
        <sz val="9"/>
        <color rgb="FF203040"/>
        <rFont val="WenQuanYi Zen Hei"/>
        <family val="2"/>
      </rPr>
      <t xml:space="preserve">成本 </t>
    </r>
    <r>
      <rPr>
        <sz val="9"/>
        <color rgb="FF203040"/>
        <rFont val="Arial"/>
        <family val="0"/>
        <charset val="1"/>
      </rPr>
      <t xml:space="preserve">/ </t>
    </r>
    <r>
      <rPr>
        <sz val="9"/>
        <color rgb="FF203040"/>
        <rFont val="WenQuanYi Zen Hei"/>
        <family val="2"/>
      </rPr>
      <t xml:space="preserve">现金</t>
    </r>
  </si>
  <si>
    <r>
      <rPr>
        <sz val="9"/>
        <color rgb="FF203040"/>
        <rFont val="Arial"/>
        <family val="0"/>
        <charset val="1"/>
      </rPr>
      <t xml:space="preserve">12 </t>
    </r>
    <r>
      <rPr>
        <sz val="9"/>
        <color rgb="FF203040"/>
        <rFont val="WenQuanYi Zen Hei"/>
        <family val="2"/>
      </rPr>
      <t xml:space="preserve">分钟</t>
    </r>
  </si>
  <si>
    <r>
      <rPr>
        <sz val="9"/>
        <color rgb="FF203040"/>
        <rFont val="Arial"/>
        <family val="0"/>
        <charset val="1"/>
      </rPr>
      <t xml:space="preserve">fct_pos_transaction</t>
    </r>
    <r>
      <rPr>
        <sz val="9"/>
        <color rgb="FF203040"/>
        <rFont val="WenQuanYi Zen Hei"/>
        <family val="2"/>
      </rPr>
      <t xml:space="preserve">、</t>
    </r>
    <r>
      <rPr>
        <sz val="9"/>
        <color rgb="FF203040"/>
        <rFont val="Arial"/>
        <family val="0"/>
        <charset val="1"/>
      </rPr>
      <t xml:space="preserve">fct_payment</t>
    </r>
  </si>
  <si>
    <r>
      <rPr>
        <sz val="9"/>
        <color rgb="FF203040"/>
        <rFont val="Arial"/>
        <family val="0"/>
        <charset val="1"/>
      </rPr>
      <t xml:space="preserve">fct_equipment_ticket</t>
    </r>
    <r>
      <rPr>
        <sz val="9"/>
        <color rgb="FF203040"/>
        <rFont val="WenQuanYi Zen Hei"/>
        <family val="2"/>
      </rPr>
      <t xml:space="preserve">、</t>
    </r>
    <r>
      <rPr>
        <sz val="9"/>
        <color rgb="FF203040"/>
        <rFont val="Arial"/>
        <family val="0"/>
        <charset val="1"/>
      </rPr>
      <t xml:space="preserve">fct_schedule</t>
    </r>
  </si>
  <si>
    <r>
      <rPr>
        <i val="true"/>
        <sz val="8.5"/>
        <color rgb="FF6B7280"/>
        <rFont val="WenQuanYi Zen Hei"/>
        <family val="2"/>
      </rPr>
      <t xml:space="preserve">门店：示例店 </t>
    </r>
    <r>
      <rPr>
        <i val="true"/>
        <sz val="8.5"/>
        <color rgb="FF6B7280"/>
        <rFont val="Arial"/>
        <family val="0"/>
        <charset val="1"/>
      </rPr>
      <t xml:space="preserve">· </t>
    </r>
    <r>
      <rPr>
        <i val="true"/>
        <sz val="8.5"/>
        <color rgb="FF6B7280"/>
        <rFont val="WenQuanYi Zen Hei"/>
        <family val="2"/>
      </rPr>
      <t xml:space="preserve">南京西路店（</t>
    </r>
    <r>
      <rPr>
        <i val="true"/>
        <sz val="8.5"/>
        <color rgb="FF6B7280"/>
        <rFont val="Arial"/>
        <family val="0"/>
        <charset val="1"/>
      </rPr>
      <t xml:space="preserve">CN-SH-0731</t>
    </r>
    <r>
      <rPr>
        <i val="true"/>
        <sz val="8.5"/>
        <color rgb="FF6B7280"/>
        <rFont val="WenQuanYi Zen Hei"/>
        <family val="2"/>
      </rPr>
      <t xml:space="preserve">，</t>
    </r>
    <r>
      <rPr>
        <i val="true"/>
        <sz val="8.5"/>
        <color rgb="FF6B7280"/>
        <rFont val="Arial"/>
        <family val="0"/>
        <charset val="1"/>
      </rPr>
      <t xml:space="preserve">FreeStanding_DT</t>
    </r>
    <r>
      <rPr>
        <i val="true"/>
        <sz val="8.5"/>
        <color rgb="FF6B7280"/>
        <rFont val="WenQuanYi Zen Hei"/>
        <family val="2"/>
      </rPr>
      <t xml:space="preserve">） </t>
    </r>
    <r>
      <rPr>
        <i val="true"/>
        <sz val="8.5"/>
        <color rgb="FF6B7280"/>
        <rFont val="Arial"/>
        <family val="0"/>
        <charset val="1"/>
      </rPr>
      <t xml:space="preserve">· </t>
    </r>
    <r>
      <rPr>
        <i val="true"/>
        <sz val="8.5"/>
        <color rgb="FF6B7280"/>
        <rFont val="WenQuanYi Zen Hei"/>
        <family val="2"/>
      </rPr>
      <t xml:space="preserve">数据区间：</t>
    </r>
    <r>
      <rPr>
        <i val="true"/>
        <sz val="8.5"/>
        <color rgb="FF6B7280"/>
        <rFont val="Arial"/>
        <family val="0"/>
        <charset val="1"/>
      </rPr>
      <t xml:space="preserve">2026-08-05 </t>
    </r>
    <r>
      <rPr>
        <i val="true"/>
        <sz val="8.5"/>
        <color rgb="FF6B7280"/>
        <rFont val="WenQuanYi Zen Hei"/>
        <family val="2"/>
      </rPr>
      <t xml:space="preserve">至 </t>
    </r>
    <r>
      <rPr>
        <i val="true"/>
        <sz val="8.5"/>
        <color rgb="FF6B7280"/>
        <rFont val="Arial"/>
        <family val="0"/>
        <charset val="1"/>
      </rPr>
      <t xml:space="preserve">2026-08-18 · </t>
    </r>
    <r>
      <rPr>
        <i val="true"/>
        <sz val="8.5"/>
        <color rgb="FF6B7280"/>
        <rFont val="WenQuanYi Zen Hei"/>
        <family val="2"/>
      </rPr>
      <t xml:space="preserve">生成命令：</t>
    </r>
    <r>
      <rPr>
        <i val="true"/>
        <sz val="8.5"/>
        <color rgb="FF6B7280"/>
        <rFont val="Arial"/>
        <family val="0"/>
        <charset val="1"/>
      </rPr>
      <t xml:space="preserve">python -m mcdops.cli excel</t>
    </r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</si>
</sst>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yyyy\-mm\-dd"/>
    <numFmt numFmtId="166" formatCode="0.0%"/>
    <numFmt numFmtId="167" formatCode="0.00"/>
    <numFmt numFmtId="168" formatCode="#,##0"/>
    <numFmt numFmtId="169" formatCode="0.0"/>
    <numFmt numFmtId="170" formatCode="#,##0.00"/>
    <numFmt numFmtId="171" formatCode="0.00%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WenQuanYi Zen Hei"/>
      <family val="2"/>
    </font>
    <font>
      <b val="true"/>
      <sz val="16"/>
      <color rgb="FFFFFFFF"/>
      <name val="Arial"/>
      <family val="0"/>
      <charset val="1"/>
    </font>
    <font>
      <sz val="9"/>
      <color rgb="FF7A1F1A"/>
      <name val="WenQuanYi Zen Hei"/>
      <family val="2"/>
    </font>
    <font>
      <b val="true"/>
      <sz val="9"/>
      <color rgb="FF203040"/>
      <name val="WenQuanYi Zen Hei"/>
      <family val="2"/>
    </font>
    <font>
      <sz val="9"/>
      <color rgb="FF203040"/>
      <name val="Arial"/>
      <family val="0"/>
      <charset val="1"/>
    </font>
    <font>
      <b val="true"/>
      <sz val="9"/>
      <color rgb="FFFFFFFF"/>
      <name val="WenQuanYi Zen Hei"/>
      <family val="2"/>
    </font>
    <font>
      <sz val="9"/>
      <color rgb="FF203040"/>
      <name val="WenQuanYi Zen Hei"/>
      <family val="2"/>
    </font>
    <font>
      <b val="true"/>
      <sz val="9"/>
      <color rgb="FF203040"/>
      <name val="Arial"/>
      <family val="0"/>
      <charset val="1"/>
    </font>
    <font>
      <b val="true"/>
      <sz val="10.5"/>
      <color rgb="FF203040"/>
      <name val="Arial"/>
      <family val="0"/>
      <charset val="1"/>
    </font>
    <font>
      <b val="true"/>
      <sz val="10.5"/>
      <color rgb="FF203040"/>
      <name val="WenQuanYi Zen Hei"/>
      <family val="2"/>
    </font>
    <font>
      <b val="true"/>
      <sz val="9"/>
      <color rgb="FFFFFFFF"/>
      <name val="Arial"/>
      <family val="0"/>
      <charset val="1"/>
    </font>
    <font>
      <i val="true"/>
      <sz val="8.5"/>
      <color rgb="FF6B7280"/>
      <name val="WenQuanYi Zen Hei"/>
      <family val="2"/>
    </font>
    <font>
      <i val="true"/>
      <sz val="8.5"/>
      <color rgb="FF6B7280"/>
      <name val="Arial"/>
      <family val="0"/>
      <charset val="1"/>
    </font>
    <font>
      <sz val="9"/>
      <color rgb="FF7A1F1A"/>
      <name val="Arial"/>
      <family val="0"/>
      <charset val="1"/>
    </font>
    <font>
      <sz val="7.5"/>
      <color rgb="FF203040"/>
      <name val="Arial"/>
      <family val="0"/>
      <charset val="1"/>
    </font>
    <font>
      <b val="true"/>
      <sz val="7.5"/>
      <color rgb="FFB3261E"/>
      <name val="Arial"/>
      <family val="0"/>
      <charset val="1"/>
    </font>
    <font>
      <sz val="7.5"/>
      <color rgb="FF8A6100"/>
      <name val="Arial"/>
      <family val="0"/>
      <charset val="1"/>
    </font>
    <font>
      <sz val="9"/>
      <color rgb="FF1B5E20"/>
      <name val="Arial"/>
      <family val="0"/>
      <charset val="1"/>
    </font>
    <font>
      <b val="true"/>
      <sz val="9"/>
      <color rgb="FFB3261E"/>
      <name val="Arial"/>
      <family val="0"/>
      <charset val="1"/>
    </font>
    <font>
      <sz val="9"/>
      <color rgb="FF8A610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B3261E"/>
        <bgColor rgb="FF993366"/>
      </patternFill>
    </fill>
    <fill>
      <patternFill patternType="solid">
        <fgColor rgb="FFFFF8E7"/>
        <bgColor rgb="FFFFF0D8"/>
      </patternFill>
    </fill>
    <fill>
      <patternFill patternType="solid">
        <fgColor rgb="FF203040"/>
        <bgColor rgb="FF003366"/>
      </patternFill>
    </fill>
    <fill>
      <patternFill patternType="solid">
        <fgColor rgb="FFEEF2F6"/>
        <bgColor rgb="FFEAF3F8"/>
      </patternFill>
    </fill>
    <fill>
      <patternFill patternType="solid">
        <fgColor rgb="FFEAF3F8"/>
        <bgColor rgb="FFEEF2F6"/>
      </patternFill>
    </fill>
    <fill>
      <patternFill patternType="solid">
        <fgColor rgb="FFF7F9FB"/>
        <bgColor rgb="FFFFFFFF"/>
      </patternFill>
    </fill>
    <fill>
      <patternFill patternType="solid">
        <fgColor rgb="FFFDECEC"/>
        <bgColor rgb="FFFFF0D8"/>
      </patternFill>
    </fill>
    <fill>
      <patternFill patternType="solid">
        <fgColor rgb="FFFFF3CD"/>
        <bgColor rgb="FFFFF0D8"/>
      </patternFill>
    </fill>
    <fill>
      <patternFill patternType="solid">
        <fgColor rgb="FFE8F5E9"/>
        <bgColor rgb="FFEAF3F8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8DEE4"/>
      </left>
      <right style="thin">
        <color rgb="FFD8DEE4"/>
      </right>
      <top style="thin">
        <color rgb="FFD8DEE4"/>
      </top>
      <bottom style="thin">
        <color rgb="FFD8DEE4"/>
      </bottom>
      <diagonal/>
    </border>
    <border diagonalUp="false" diagonalDown="false">
      <left style="thin">
        <color rgb="FFD8DEE4"/>
      </left>
      <right/>
      <top style="thin">
        <color rgb="FFD8DEE4"/>
      </top>
      <bottom style="thin">
        <color rgb="FFD8DE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5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5" fontId="8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8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8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8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5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3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6" fontId="1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1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2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3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22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1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3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7">
    <dxf>
      <font>
        <name val="Arial"/>
        <charset val="1"/>
        <family val="0"/>
        <b val="1"/>
        <color rgb="FFB3261E"/>
        <sz val="9"/>
      </font>
      <fill>
        <patternFill>
          <bgColor rgb="FFFDECEC"/>
        </patternFill>
      </fill>
    </dxf>
    <dxf>
      <font>
        <name val="Arial"/>
        <charset val="1"/>
        <family val="0"/>
        <b val="1"/>
        <color rgb="FF8A6100"/>
        <sz val="9"/>
      </font>
      <fill>
        <patternFill>
          <bgColor rgb="FFFFF3CD"/>
        </patternFill>
      </fill>
    </dxf>
    <dxf>
      <font>
        <name val="Arial"/>
        <charset val="1"/>
        <family val="0"/>
        <b val="1"/>
        <color rgb="FF1B5E20"/>
        <sz val="9"/>
      </font>
      <fill>
        <patternFill>
          <bgColor rgb="FFE8F5E9"/>
        </patternFill>
      </fill>
    </dxf>
    <dxf>
      <fill>
        <patternFill patternType="solid">
          <fgColor rgb="FF203040"/>
          <bgColor rgb="FF000000"/>
        </patternFill>
      </fill>
    </dxf>
    <dxf>
      <fill>
        <patternFill patternType="solid">
          <fgColor rgb="FFEAF3F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5F3D9"/>
          <bgColor rgb="FF000000"/>
        </patternFill>
      </fill>
    </dxf>
    <dxf>
      <fill>
        <patternFill patternType="solid">
          <fgColor rgb="FFFBF3D2"/>
          <bgColor rgb="FF000000"/>
        </patternFill>
      </fill>
    </dxf>
    <dxf>
      <fill>
        <patternFill patternType="solid">
          <fgColor rgb="FFFCF3D0"/>
          <bgColor rgb="FF000000"/>
        </patternFill>
      </fill>
    </dxf>
    <dxf>
      <fill>
        <patternFill patternType="solid">
          <fgColor rgb="FFFDF3D0"/>
          <bgColor rgb="FF000000"/>
        </patternFill>
      </fill>
    </dxf>
    <dxf>
      <fill>
        <patternFill patternType="solid">
          <fgColor rgb="FFFEF1D3"/>
          <bgColor rgb="FF000000"/>
        </patternFill>
      </fill>
    </dxf>
    <dxf>
      <fill>
        <patternFill patternType="solid">
          <fgColor rgb="FFFEF1D4"/>
          <bgColor rgb="FF000000"/>
        </patternFill>
      </fill>
    </dxf>
    <dxf>
      <fill>
        <patternFill patternType="solid">
          <fgColor rgb="FFFEF1D5"/>
          <bgColor rgb="FF000000"/>
        </patternFill>
      </fill>
    </dxf>
    <dxf>
      <fill>
        <patternFill patternType="solid">
          <fgColor rgb="FFFEF2CE"/>
          <bgColor rgb="FF000000"/>
        </patternFill>
      </fill>
    </dxf>
    <dxf>
      <fill>
        <patternFill patternType="solid">
          <fgColor rgb="FFFEF2D0"/>
          <bgColor rgb="FF000000"/>
        </patternFill>
      </fill>
    </dxf>
    <dxf>
      <fill>
        <patternFill patternType="solid">
          <fgColor rgb="FFFEF2D1"/>
          <bgColor rgb="FF000000"/>
        </patternFill>
      </fill>
    </dxf>
    <dxf>
      <fill>
        <patternFill patternType="solid">
          <fgColor rgb="FFFEF3CE"/>
          <bgColor rgb="FF000000"/>
        </patternFill>
      </fill>
    </dxf>
    <dxf>
      <fill>
        <patternFill patternType="solid">
          <fgColor rgb="FFFEF3CF"/>
          <bgColor rgb="FF000000"/>
        </patternFill>
      </fill>
    </dxf>
    <dxf>
      <fill>
        <patternFill patternType="solid">
          <fgColor rgb="FFFDECEC"/>
          <bgColor rgb="FF000000"/>
        </patternFill>
      </fill>
    </dxf>
    <dxf>
      <fill>
        <patternFill patternType="solid">
          <fgColor rgb="FFB3261E"/>
          <bgColor rgb="FF000000"/>
        </patternFill>
      </fill>
    </dxf>
    <dxf>
      <font>
        <name val="Arial"/>
        <charset val="1"/>
        <family val="0"/>
        <color rgb="FFB3261E"/>
        <sz val="9"/>
      </font>
      <fill>
        <patternFill>
          <bgColor rgb="FFFDECEC"/>
        </patternFill>
      </fill>
    </dxf>
    <dxf>
      <fill>
        <patternFill>
          <bgColor rgb="FFFFE0E0"/>
        </patternFill>
      </fill>
    </dxf>
    <dxf>
      <fill>
        <patternFill>
          <bgColor rgb="FFFFF0D8"/>
        </patternFill>
      </fill>
    </dxf>
    <dxf>
      <fill>
        <patternFill>
          <bgColor rgb="FFE3F0FB"/>
        </patternFill>
      </fill>
    </dxf>
    <dxf>
      <fill>
        <patternFill>
          <bgColor rgb="FFF0F0F0"/>
        </patternFill>
      </fill>
    </dxf>
    <dxf>
      <fill>
        <patternFill patternType="solid">
          <fgColor rgb="FFF7F9FB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8E7"/>
      <rgbColor rgb="FFFF00FF"/>
      <rgbColor rgb="FF00FFFF"/>
      <rgbColor rgb="FF7A1F1A"/>
      <rgbColor rgb="FF1B5E20"/>
      <rgbColor rgb="FF000080"/>
      <rgbColor rgb="FF8A6100"/>
      <rgbColor rgb="FF800080"/>
      <rgbColor rgb="FF008080"/>
      <rgbColor rgb="FFF0F0F0"/>
      <rgbColor rgb="FF4A6572"/>
      <rgbColor rgb="FF9999FF"/>
      <rgbColor rgb="FF993366"/>
      <rgbColor rgb="FFFFF3CD"/>
      <rgbColor rgb="FFE3F0FB"/>
      <rgbColor rgb="FF660066"/>
      <rgbColor rgb="FFFF8080"/>
      <rgbColor rgb="FF0066CC"/>
      <rgbColor rgb="FFD8DE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EAF3F8"/>
      <rgbColor rgb="FFFFF0D8"/>
      <rgbColor rgb="FFEEF2F6"/>
      <rgbColor rgb="FFFDECEC"/>
      <rgbColor rgb="FFF7F9FB"/>
      <rgbColor rgb="FFFFE0E0"/>
      <rgbColor rgb="FF3366FF"/>
      <rgbColor rgb="FF33CCCC"/>
      <rgbColor rgb="FF99CC00"/>
      <rgbColor rgb="FFFFCC00"/>
      <rgbColor rgb="FFFF9900"/>
      <rgbColor rgb="FFFF6600"/>
      <rgbColor rgb="FF6B7280"/>
      <rgbColor rgb="FF9AA3AE"/>
      <rgbColor rgb="FF003366"/>
      <rgbColor rgb="FF339966"/>
      <rgbColor rgb="FF003300"/>
      <rgbColor rgb="FF333300"/>
      <rgbColor rgb="FFB3261E"/>
      <rgbColor rgb="FF993366"/>
      <rgbColor rgb="FF333399"/>
      <rgbColor rgb="FF203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DailyOpsTable" displayName="DailyOpsTable" ref="A4:BG18" headerRowCount="1" totalsRowCount="0" totalsRowShown="0">
  <autoFilter ref="A4:BG18"/>
  <tableColumns count="59">
    <tableColumn id="1" name="日期"/>
    <tableColumn id="2" name="星期"/>
    <tableColumn id="3" name="销售预测"/>
    <tableColumn id="4" name="净销售额"/>
    <tableColumn id="5" name="交易笔数"/>
    <tableColumn id="6" name="客单价"/>
    <tableColumn id="7" name="销售达成率"/>
    <tableColumn id="8" name="商品件数"/>
    <tableColumn id="9" name="单均件数"/>
    <tableColumn id="10" name="数字渠道占比"/>
    <tableColumn id="11" name="外送销售额"/>
    <tableColumn id="12" name="外送占比"/>
    <tableColumn id="13" name="人工点单数"/>
    <tableColumn id="14" name="附加销售单数"/>
    <tableColumn id="15" name="附加销售率"/>
    <tableColumn id="16" name="食品成本额"/>
    <tableColumn id="17" name="食品成本率"/>
    <tableColumn id="18" name="废弃金额"/>
    <tableColumn id="19" name="废弃率"/>
    <tableColumn id="20" name="实际工时"/>
    <tableColumn id="21" name="计划工时"/>
    <tableColumn id="22" name="平均时薪"/>
    <tableColumn id="23" name="班组计划工时"/>
    <tableColumn id="24" name="班组实际工时"/>
    <tableColumn id="25" name="人工成本"/>
    <tableColumn id="26" name="人工成本率"/>
    <tableColumn id="27" name="人时销售SPLH"/>
    <tableColumn id="28" name="工时排班偏差"/>
    <tableColumn id="29" name="得来速总时长"/>
    <tableColumn id="30" name="得来速取餐窗"/>
    <tableColumn id="31" name="后厨制作时长"/>
    <tableColumn id="32" name="前台交付OTD"/>
    <tableColumn id="33" name="外送出餐时长"/>
    <tableColumn id="34" name="达标订单数"/>
    <tableColumn id="35" name="服务速度达标率"/>
    <tableColumn id="36" name="差错事件数"/>
    <tableColumn id="37" name="订单准确率"/>
    <tableColumn id="38" name="千单投诉数"/>
    <tableColumn id="39" name="食安日检得分"/>
    <tableColumn id="40" name="关键温度异常"/>
    <tableColumn id="41" name="保温批次数"/>
    <tableColumn id="42" name="保温废弃数"/>
    <tableColumn id="43" name="保温超时率"/>
    <tableColumn id="44" name="清洁巡检得分"/>
    <tableColumn id="45" name="设备停机分钟"/>
    <tableColumn id="46" name="排班人次"/>
    <tableColumn id="47" name="到岗人次"/>
    <tableColumn id="48" name="出勤达成率"/>
    <tableColumn id="49" name="迟到人次"/>
    <tableColumn id="50" name="迟到率"/>
    <tableColumn id="51" name="认证人次"/>
    <tableColumn id="52" name="岗位认证覆盖率"/>
    <tableColumn id="53" name="30日流失率"/>
    <tableColumn id="54" name="调研总分"/>
    <tableColumn id="55" name="调研份数"/>
    <tableColumn id="56" name="顾客满意度"/>
    <tableColumn id="57" name="外卖平台评分"/>
    <tableColumn id="58" name="现金短溢"/>
    <tableColumn id="59" name="店长备注"/>
  </tableColumns>
</table>
</file>

<file path=xl/tables/table2.xml><?xml version="1.0" encoding="utf-8"?>
<table xmlns="http://schemas.openxmlformats.org/spreadsheetml/2006/main" id="2" name="SourceTables" displayName="SourceTables" ref="A4:I34" headerRowCount="1" totalsRowCount="0" totalsRowShown="0">
  <autoFilter ref="A4:I34"/>
  <tableColumns count="9">
    <tableColumn id="1" name="表名"/>
    <tableColumn id="2" name="中文名"/>
    <tableColumn id="3" name="业务域"/>
    <tableColumn id="4" name="层级"/>
    <tableColumn id="5" name="来源系统"/>
    <tableColumn id="6" name="粒度"/>
    <tableColumn id="7" name="刷新频率"/>
    <tableColumn id="8" name="日增行数"/>
    <tableColumn id="9" name="为什么需要它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3261E"/>
    <pageSetUpPr fitToPage="false"/>
  </sheetPr>
  <dimension ref="A1:I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  <col collapsed="false" customWidth="true" hidden="false" outlineLevel="0" max="4" min="3" style="0" width="12"/>
    <col collapsed="false" customWidth="true" hidden="false" outlineLevel="0" max="7" min="5" style="0" width="10"/>
    <col collapsed="false" customWidth="true" hidden="false" outlineLevel="0" max="8" min="8" style="0" width="12"/>
    <col collapsed="false" customWidth="true" hidden="false" outlineLevel="0" max="9" min="9" style="0" width="3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3" t="s">
        <v>2</v>
      </c>
      <c r="B3" s="4" t="n">
        <f aca="false">MAX(每日经营日报!$A$5:$A$18)</f>
        <v>46252</v>
      </c>
      <c r="D3" s="3" t="s">
        <v>3</v>
      </c>
      <c r="E3" s="5" t="str">
        <f aca="false">IF(COUNTIF($D$6:$D$22,"红")&gt;0,"有 "&amp;COUNTIF($D$6:$D$22,"红")&amp;" 项红灯，按下方「今天的三件事」执行",IF(COUNTIF($D$6:$D$22,"黄")&gt;0,"无红灯，"&amp;COUNTIF($D$6:$D$22,"黄")&amp;" 项关注","全绿：把时间用在训练和顾客身上"))</f>
        <v>有 3 项红灯，按下方「今天的三件事」执行</v>
      </c>
      <c r="F3" s="5"/>
      <c r="G3" s="5"/>
      <c r="H3" s="5"/>
      <c r="I3" s="5"/>
    </row>
    <row r="5" customFormat="false" ht="30" hidden="false" customHeight="true" outlineLevel="0" collapsed="false">
      <c r="A5" s="6" t="s">
        <v>4</v>
      </c>
      <c r="B5" s="6" t="s">
        <v>5</v>
      </c>
      <c r="C5" s="6" t="s">
        <v>6</v>
      </c>
      <c r="D5" s="6" t="s">
        <v>7</v>
      </c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</row>
    <row r="6" customFormat="false" ht="15" hidden="false" customHeight="false" outlineLevel="0" collapsed="false">
      <c r="A6" s="3" t="s">
        <v>13</v>
      </c>
      <c r="B6" s="7" t="n">
        <f aca="false">IFERROR(INDEX(每日经营日报!$G$5:$G$18,MATCH($B$3,每日经营日报!$A$5:$A$18,0)),0)</f>
        <v>0.978684136740925</v>
      </c>
      <c r="C6" s="7" t="n">
        <f aca="false">INDEX(目标与口径!$F$5:$F$36,MATCH("sales_vs_forecast",目标与口径!$A$5:$A$36,0))</f>
        <v>1</v>
      </c>
      <c r="D6" s="8" t="str">
        <f aca="false">IFERROR(IF(INDEX(目标与口径!$E$5:$E$36,MATCH("sales_vs_forecast",目标与口径!$A$5:$A$36,0))="越高越好",IF($B$6&gt;=INDEX(目标与口径!$G$5:$G$36,MATCH("sales_vs_forecast",目标与口径!$A$5:$A$36,0)),"绿",IF($B$6&gt;=INDEX(目标与口径!$H$5:$H$36,MATCH("sales_vs_forecast",目标与口径!$A$5:$A$36,0)),"黄","红")),IF($B$6&lt;=INDEX(目标与口径!$G$5:$G$36,MATCH("sales_vs_forecast",目标与口径!$A$5:$A$36,0)),"绿",IF($B$6&lt;=INDEX(目标与口径!$H$5:$H$36,MATCH("sales_vs_forecast",目标与口径!$A$5:$A$36,0)),"黄","红"))),"—")</f>
        <v>黄</v>
      </c>
      <c r="E6" s="7" t="n">
        <f aca="false">INDEX(目标与口径!$G$5:$G$36,MATCH("sales_vs_forecast",目标与口径!$A$5:$A$36,0))</f>
        <v>0.98</v>
      </c>
      <c r="F6" s="7" t="n">
        <f aca="false">INDEX(目标与口径!$H$5:$H$36,MATCH("sales_vs_forecast",目标与口径!$A$5:$A$36,0))</f>
        <v>0.93</v>
      </c>
      <c r="G6" s="9" t="n">
        <f aca="false">IFERROR(MAX(0,IF(INDEX(目标与口径!$E$5:$E$36,MATCH("sales_vs_forecast",目标与口径!$A$5:$A$36,0))="越高越好",INDEX(目标与口径!$G$5:$G$36,MATCH("sales_vs_forecast",目标与口径!$A$5:$A$36,0))-$B$6,$B$6-INDEX(目标与口径!$G$5:$G$36,MATCH("sales_vs_forecast",目标与口径!$A$5:$A$36,0)))/ABS(INDEX(目标与口径!$H$5:$H$36,MATCH("sales_vs_forecast",目标与口径!$A$5:$A$36,0))-INDEX(目标与口径!$G$5:$G$36,MATCH("sales_vs_forecast",目标与口径!$A$5:$A$36,0)))),0)</f>
        <v>0.0263172651814925</v>
      </c>
      <c r="H6" s="10" t="str">
        <f aca="false">INDEX(目标与口径!$J$5:$J$36,MATCH("sales_vs_forecast",目标与口径!$A$5:$A$36,0))</f>
        <v>店长</v>
      </c>
      <c r="I6" s="10" t="str">
        <f aca="false">INDEX(目标与口径!$N$5:$N$36,MATCH("sales_vs_forecast",目标与口径!$A$5:$A$36,0))</f>
        <v>PB-01</v>
      </c>
    </row>
    <row r="7" customFormat="false" ht="15" hidden="false" customHeight="false" outlineLevel="0" collapsed="false">
      <c r="A7" s="3" t="s">
        <v>14</v>
      </c>
      <c r="B7" s="11" t="n">
        <f aca="false">IFERROR(INDEX(每日经营日报!$D$5:$D$18,MATCH($B$3,每日经营日报!$A$5:$A$18,0)),0)</f>
        <v>55987.74</v>
      </c>
      <c r="C7" s="11" t="n">
        <f aca="false">INDEX(目标与口径!$F$5:$F$36,MATCH("net_sales",目标与口径!$A$5:$A$36,0))</f>
        <v>62000</v>
      </c>
      <c r="D7" s="8" t="str">
        <f aca="false">IFERROR(IF(INDEX(目标与口径!$E$5:$E$36,MATCH("net_sales",目标与口径!$A$5:$A$36,0))="越高越好",IF($B$7&gt;=INDEX(目标与口径!$G$5:$G$36,MATCH("net_sales",目标与口径!$A$5:$A$36,0)),"绿",IF($B$7&gt;=INDEX(目标与口径!$H$5:$H$36,MATCH("net_sales",目标与口径!$A$5:$A$36,0)),"黄","红")),IF($B$7&lt;=INDEX(目标与口径!$G$5:$G$36,MATCH("net_sales",目标与口径!$A$5:$A$36,0)),"绿",IF($B$7&lt;=INDEX(目标与口径!$H$5:$H$36,MATCH("net_sales",目标与口径!$A$5:$A$36,0)),"黄","红"))),"—")</f>
        <v>黄</v>
      </c>
      <c r="E7" s="11" t="n">
        <f aca="false">INDEX(目标与口径!$G$5:$G$36,MATCH("net_sales",目标与口径!$A$5:$A$36,0))</f>
        <v>58000</v>
      </c>
      <c r="F7" s="11" t="n">
        <f aca="false">INDEX(目标与口径!$H$5:$H$36,MATCH("net_sales",目标与口径!$A$5:$A$36,0))</f>
        <v>52000</v>
      </c>
      <c r="G7" s="9" t="n">
        <f aca="false">IFERROR(MAX(0,IF(INDEX(目标与口径!$E$5:$E$36,MATCH("net_sales",目标与口径!$A$5:$A$36,0))="越高越好",INDEX(目标与口径!$G$5:$G$36,MATCH("net_sales",目标与口径!$A$5:$A$36,0))-$B$7,$B$7-INDEX(目标与口径!$G$5:$G$36,MATCH("net_sales",目标与口径!$A$5:$A$36,0)))/ABS(INDEX(目标与口径!$H$5:$H$36,MATCH("net_sales",目标与口径!$A$5:$A$36,0))-INDEX(目标与口径!$G$5:$G$36,MATCH("net_sales",目标与口径!$A$5:$A$36,0)))),0)</f>
        <v>0.335376666666667</v>
      </c>
      <c r="H7" s="10" t="str">
        <f aca="false">INDEX(目标与口径!$J$5:$J$36,MATCH("net_sales",目标与口径!$A$5:$A$36,0))</f>
        <v>店长</v>
      </c>
      <c r="I7" s="10" t="str">
        <f aca="false">INDEX(目标与口径!$N$5:$N$36,MATCH("net_sales",目标与口径!$A$5:$A$36,0))</f>
        <v>PB-01</v>
      </c>
    </row>
    <row r="8" customFormat="false" ht="15" hidden="false" customHeight="false" outlineLevel="0" collapsed="false">
      <c r="A8" s="3" t="s">
        <v>15</v>
      </c>
      <c r="B8" s="11" t="n">
        <f aca="false">IFERROR(INDEX(每日经营日报!$E$5:$E$18,MATCH($B$3,每日经营日报!$A$5:$A$18,0)),0)</f>
        <v>1564</v>
      </c>
      <c r="C8" s="11" t="n">
        <f aca="false">INDEX(目标与口径!$F$5:$F$36,MATCH("guest_count",目标与口径!$A$5:$A$36,0))</f>
        <v>1750</v>
      </c>
      <c r="D8" s="8" t="str">
        <f aca="false">IFERROR(IF(INDEX(目标与口径!$E$5:$E$36,MATCH("guest_count",目标与口径!$A$5:$A$36,0))="越高越好",IF($B$8&gt;=INDEX(目标与口径!$G$5:$G$36,MATCH("guest_count",目标与口径!$A$5:$A$36,0)),"绿",IF($B$8&gt;=INDEX(目标与口径!$H$5:$H$36,MATCH("guest_count",目标与口径!$A$5:$A$36,0)),"黄","红")),IF($B$8&lt;=INDEX(目标与口径!$G$5:$G$36,MATCH("guest_count",目标与口径!$A$5:$A$36,0)),"绿",IF($B$8&lt;=INDEX(目标与口径!$H$5:$H$36,MATCH("guest_count",目标与口径!$A$5:$A$36,0)),"黄","红"))),"—")</f>
        <v>黄</v>
      </c>
      <c r="E8" s="11" t="n">
        <f aca="false">INDEX(目标与口径!$G$5:$G$36,MATCH("guest_count",目标与口径!$A$5:$A$36,0))</f>
        <v>1620</v>
      </c>
      <c r="F8" s="11" t="n">
        <f aca="false">INDEX(目标与口径!$H$5:$H$36,MATCH("guest_count",目标与口径!$A$5:$A$36,0))</f>
        <v>1480</v>
      </c>
      <c r="G8" s="9" t="n">
        <f aca="false">IFERROR(MAX(0,IF(INDEX(目标与口径!$E$5:$E$36,MATCH("guest_count",目标与口径!$A$5:$A$36,0))="越高越好",INDEX(目标与口径!$G$5:$G$36,MATCH("guest_count",目标与口径!$A$5:$A$36,0))-$B$8,$B$8-INDEX(目标与口径!$G$5:$G$36,MATCH("guest_count",目标与口径!$A$5:$A$36,0)))/ABS(INDEX(目标与口径!$H$5:$H$36,MATCH("guest_count",目标与口径!$A$5:$A$36,0))-INDEX(目标与口径!$G$5:$G$36,MATCH("guest_count",目标与口径!$A$5:$A$36,0)))),0)</f>
        <v>0.4</v>
      </c>
      <c r="H8" s="10" t="str">
        <f aca="false">INDEX(目标与口径!$J$5:$J$36,MATCH("guest_count",目标与口径!$A$5:$A$36,0))</f>
        <v>店长</v>
      </c>
      <c r="I8" s="10" t="str">
        <f aca="false">INDEX(目标与口径!$N$5:$N$36,MATCH("guest_count",目标与口径!$A$5:$A$36,0))</f>
        <v>PB-01</v>
      </c>
    </row>
    <row r="9" customFormat="false" ht="15" hidden="false" customHeight="false" outlineLevel="0" collapsed="false">
      <c r="A9" s="3" t="s">
        <v>16</v>
      </c>
      <c r="B9" s="11" t="n">
        <f aca="false">IFERROR(INDEX(每日经营日报!$F$5:$F$18,MATCH($B$3,每日经营日报!$A$5:$A$18,0)),0)</f>
        <v>35.7977877237852</v>
      </c>
      <c r="C9" s="11" t="n">
        <f aca="false">INDEX(目标与口径!$F$5:$F$36,MATCH("avg_check",目标与口径!$A$5:$A$36,0))</f>
        <v>35.5</v>
      </c>
      <c r="D9" s="8" t="str">
        <f aca="false">IFERROR(IF(INDEX(目标与口径!$E$5:$E$36,MATCH("avg_check",目标与口径!$A$5:$A$36,0))="越高越好",IF($B$9&gt;=INDEX(目标与口径!$G$5:$G$36,MATCH("avg_check",目标与口径!$A$5:$A$36,0)),"绿",IF($B$9&gt;=INDEX(目标与口径!$H$5:$H$36,MATCH("avg_check",目标与口径!$A$5:$A$36,0)),"黄","红")),IF($B$9&lt;=INDEX(目标与口径!$G$5:$G$36,MATCH("avg_check",目标与口径!$A$5:$A$36,0)),"绿",IF($B$9&lt;=INDEX(目标与口径!$H$5:$H$36,MATCH("avg_check",目标与口径!$A$5:$A$36,0)),"黄","红"))),"—")</f>
        <v>绿</v>
      </c>
      <c r="E9" s="11" t="n">
        <f aca="false">INDEX(目标与口径!$G$5:$G$36,MATCH("avg_check",目标与口径!$A$5:$A$36,0))</f>
        <v>35</v>
      </c>
      <c r="F9" s="11" t="n">
        <f aca="false">INDEX(目标与口径!$H$5:$H$36,MATCH("avg_check",目标与口径!$A$5:$A$36,0))</f>
        <v>33</v>
      </c>
      <c r="G9" s="9" t="n">
        <f aca="false">IFERROR(MAX(0,IF(INDEX(目标与口径!$E$5:$E$36,MATCH("avg_check",目标与口径!$A$5:$A$36,0))="越高越好",INDEX(目标与口径!$G$5:$G$36,MATCH("avg_check",目标与口径!$A$5:$A$36,0))-$B$9,$B$9-INDEX(目标与口径!$G$5:$G$36,MATCH("avg_check",目标与口径!$A$5:$A$36,0)))/ABS(INDEX(目标与口径!$H$5:$H$36,MATCH("avg_check",目标与口径!$A$5:$A$36,0))-INDEX(目标与口径!$G$5:$G$36,MATCH("avg_check",目标与口径!$A$5:$A$36,0)))),0)</f>
        <v>0</v>
      </c>
      <c r="H9" s="10" t="str">
        <f aca="false">INDEX(目标与口径!$J$5:$J$36,MATCH("avg_check",目标与口径!$A$5:$A$36,0))</f>
        <v>值班经理</v>
      </c>
      <c r="I9" s="10" t="str">
        <f aca="false">INDEX(目标与口径!$N$5:$N$36,MATCH("avg_check",目标与口径!$A$5:$A$36,0))</f>
        <v>PB-02</v>
      </c>
    </row>
    <row r="10" customFormat="false" ht="15" hidden="false" customHeight="false" outlineLevel="0" collapsed="false">
      <c r="A10" s="3" t="s">
        <v>17</v>
      </c>
      <c r="B10" s="7" t="n">
        <f aca="false">IFERROR(INDEX(每日经营日报!$Q$5:$Q$18,MATCH($B$3,每日经营日报!$A$5:$A$18,0)),0)</f>
        <v>0.312193526654228</v>
      </c>
      <c r="C10" s="7" t="n">
        <f aca="false">INDEX(目标与口径!$F$5:$F$36,MATCH("food_cost_pct",目标与口径!$A$5:$A$36,0))</f>
        <v>0.305</v>
      </c>
      <c r="D10" s="8" t="str">
        <f aca="false">IFERROR(IF(INDEX(目标与口径!$E$5:$E$36,MATCH("food_cost_pct",目标与口径!$A$5:$A$36,0))="越高越好",IF($B$10&gt;=INDEX(目标与口径!$G$5:$G$36,MATCH("food_cost_pct",目标与口径!$A$5:$A$36,0)),"绿",IF($B$10&gt;=INDEX(目标与口径!$H$5:$H$36,MATCH("food_cost_pct",目标与口径!$A$5:$A$36,0)),"黄","红")),IF($B$10&lt;=INDEX(目标与口径!$G$5:$G$36,MATCH("food_cost_pct",目标与口径!$A$5:$A$36,0)),"绿",IF($B$10&lt;=INDEX(目标与口径!$H$5:$H$36,MATCH("food_cost_pct",目标与口径!$A$5:$A$36,0)),"黄","红"))),"—")</f>
        <v>黄</v>
      </c>
      <c r="E10" s="7" t="n">
        <f aca="false">INDEX(目标与口径!$G$5:$G$36,MATCH("food_cost_pct",目标与口径!$A$5:$A$36,0))</f>
        <v>0.31</v>
      </c>
      <c r="F10" s="7" t="n">
        <f aca="false">INDEX(目标与口径!$H$5:$H$36,MATCH("food_cost_pct",目标与口径!$A$5:$A$36,0))</f>
        <v>0.325</v>
      </c>
      <c r="G10" s="9" t="n">
        <f aca="false">IFERROR(MAX(0,IF(INDEX(目标与口径!$E$5:$E$36,MATCH("food_cost_pct",目标与口径!$A$5:$A$36,0))="越高越好",INDEX(目标与口径!$G$5:$G$36,MATCH("food_cost_pct",目标与口径!$A$5:$A$36,0))-$B$10,$B$10-INDEX(目标与口径!$G$5:$G$36,MATCH("food_cost_pct",目标与口径!$A$5:$A$36,0)))/ABS(INDEX(目标与口径!$H$5:$H$36,MATCH("food_cost_pct",目标与口径!$A$5:$A$36,0))-INDEX(目标与口径!$G$5:$G$36,MATCH("food_cost_pct",目标与口径!$A$5:$A$36,0)))),0)</f>
        <v>0.146235110281882</v>
      </c>
      <c r="H10" s="10" t="str">
        <f aca="false">INDEX(目标与口径!$J$5:$J$36,MATCH("food_cost_pct",目标与口径!$A$5:$A$36,0))</f>
        <v>店长</v>
      </c>
      <c r="I10" s="10" t="str">
        <f aca="false">INDEX(目标与口径!$N$5:$N$36,MATCH("food_cost_pct",目标与口径!$A$5:$A$36,0))</f>
        <v>PB-06</v>
      </c>
    </row>
    <row r="11" customFormat="false" ht="15" hidden="false" customHeight="false" outlineLevel="0" collapsed="false">
      <c r="A11" s="3" t="s">
        <v>18</v>
      </c>
      <c r="B11" s="7" t="n">
        <f aca="false">IFERROR(INDEX(每日经营日报!$S$5:$S$18,MATCH($B$3,每日经营日报!$A$5:$A$18,0)),0)</f>
        <v>0.0110115178787356</v>
      </c>
      <c r="C11" s="7" t="n">
        <f aca="false">INDEX(目标与口径!$F$5:$F$36,MATCH("waste_pct",目标与口径!$A$5:$A$36,0))</f>
        <v>0.008</v>
      </c>
      <c r="D11" s="8" t="str">
        <f aca="false">IFERROR(IF(INDEX(目标与口径!$E$5:$E$36,MATCH("waste_pct",目标与口径!$A$5:$A$36,0))="越高越好",IF($B$11&gt;=INDEX(目标与口径!$G$5:$G$36,MATCH("waste_pct",目标与口径!$A$5:$A$36,0)),"绿",IF($B$11&gt;=INDEX(目标与口径!$H$5:$H$36,MATCH("waste_pct",目标与口径!$A$5:$A$36,0)),"黄","红")),IF($B$11&lt;=INDEX(目标与口径!$G$5:$G$36,MATCH("waste_pct",目标与口径!$A$5:$A$36,0)),"绿",IF($B$11&lt;=INDEX(目标与口径!$H$5:$H$36,MATCH("waste_pct",目标与口径!$A$5:$A$36,0)),"黄","红"))),"—")</f>
        <v>黄</v>
      </c>
      <c r="E11" s="7" t="n">
        <f aca="false">INDEX(目标与口径!$G$5:$G$36,MATCH("waste_pct",目标与口径!$A$5:$A$36,0))</f>
        <v>0.01</v>
      </c>
      <c r="F11" s="7" t="n">
        <f aca="false">INDEX(目标与口径!$H$5:$H$36,MATCH("waste_pct",目标与口径!$A$5:$A$36,0))</f>
        <v>0.015</v>
      </c>
      <c r="G11" s="9" t="n">
        <f aca="false">IFERROR(MAX(0,IF(INDEX(目标与口径!$E$5:$E$36,MATCH("waste_pct",目标与口径!$A$5:$A$36,0))="越高越好",INDEX(目标与口径!$G$5:$G$36,MATCH("waste_pct",目标与口径!$A$5:$A$36,0))-$B$11,$B$11-INDEX(目标与口径!$G$5:$G$36,MATCH("waste_pct",目标与口径!$A$5:$A$36,0)))/ABS(INDEX(目标与口径!$H$5:$H$36,MATCH("waste_pct",目标与口径!$A$5:$A$36,0))-INDEX(目标与口径!$G$5:$G$36,MATCH("waste_pct",目标与口径!$A$5:$A$36,0)))),0)</f>
        <v>0.202303575747119</v>
      </c>
      <c r="H11" s="10" t="str">
        <f aca="false">INDEX(目标与口径!$J$5:$J$36,MATCH("waste_pct",目标与口径!$A$5:$A$36,0))</f>
        <v>值班经理</v>
      </c>
      <c r="I11" s="10" t="str">
        <f aca="false">INDEX(目标与口径!$N$5:$N$36,MATCH("waste_pct",目标与口径!$A$5:$A$36,0))</f>
        <v>PB-06</v>
      </c>
    </row>
    <row r="12" customFormat="false" ht="15" hidden="false" customHeight="false" outlineLevel="0" collapsed="false">
      <c r="A12" s="3" t="s">
        <v>19</v>
      </c>
      <c r="B12" s="7" t="n">
        <f aca="false">IFERROR(INDEX(每日经营日报!$Z$5:$Z$18,MATCH($B$3,每日经营日报!$A$5:$A$18,0)),0)</f>
        <v>0.132467483059684</v>
      </c>
      <c r="C12" s="7" t="n">
        <f aca="false">INDEX(目标与口径!$F$5:$F$36,MATCH("labor_cost_pct",目标与口径!$A$5:$A$36,0))</f>
        <v>0.135</v>
      </c>
      <c r="D12" s="8" t="str">
        <f aca="false">IFERROR(IF(INDEX(目标与口径!$E$5:$E$36,MATCH("labor_cost_pct",目标与口径!$A$5:$A$36,0))="越高越好",IF($B$12&gt;=INDEX(目标与口径!$G$5:$G$36,MATCH("labor_cost_pct",目标与口径!$A$5:$A$36,0)),"绿",IF($B$12&gt;=INDEX(目标与口径!$H$5:$H$36,MATCH("labor_cost_pct",目标与口径!$A$5:$A$36,0)),"黄","红")),IF($B$12&lt;=INDEX(目标与口径!$G$5:$G$36,MATCH("labor_cost_pct",目标与口径!$A$5:$A$36,0)),"绿",IF($B$12&lt;=INDEX(目标与口径!$H$5:$H$36,MATCH("labor_cost_pct",目标与口径!$A$5:$A$36,0)),"黄","红"))),"—")</f>
        <v>绿</v>
      </c>
      <c r="E12" s="7" t="n">
        <f aca="false">INDEX(目标与口径!$G$5:$G$36,MATCH("labor_cost_pct",目标与口径!$A$5:$A$36,0))</f>
        <v>0.14</v>
      </c>
      <c r="F12" s="7" t="n">
        <f aca="false">INDEX(目标与口径!$H$5:$H$36,MATCH("labor_cost_pct",目标与口径!$A$5:$A$36,0))</f>
        <v>0.155</v>
      </c>
      <c r="G12" s="9" t="n">
        <f aca="false">IFERROR(MAX(0,IF(INDEX(目标与口径!$E$5:$E$36,MATCH("labor_cost_pct",目标与口径!$A$5:$A$36,0))="越高越好",INDEX(目标与口径!$G$5:$G$36,MATCH("labor_cost_pct",目标与口径!$A$5:$A$36,0))-$B$12,$B$12-INDEX(目标与口径!$G$5:$G$36,MATCH("labor_cost_pct",目标与口径!$A$5:$A$36,0)))/ABS(INDEX(目标与口径!$H$5:$H$36,MATCH("labor_cost_pct",目标与口径!$A$5:$A$36,0))-INDEX(目标与口径!$G$5:$G$36,MATCH("labor_cost_pct",目标与口径!$A$5:$A$36,0)))),0)</f>
        <v>0</v>
      </c>
      <c r="H12" s="10" t="str">
        <f aca="false">INDEX(目标与口径!$J$5:$J$36,MATCH("labor_cost_pct",目标与口径!$A$5:$A$36,0))</f>
        <v>店长</v>
      </c>
      <c r="I12" s="10" t="str">
        <f aca="false">INDEX(目标与口径!$N$5:$N$36,MATCH("labor_cost_pct",目标与口径!$A$5:$A$36,0))</f>
        <v>PB-07</v>
      </c>
    </row>
    <row r="13" customFormat="false" ht="15" hidden="false" customHeight="false" outlineLevel="0" collapsed="false">
      <c r="A13" s="3" t="s">
        <v>20</v>
      </c>
      <c r="B13" s="11" t="n">
        <f aca="false">IFERROR(INDEX(每日经营日报!$AA$5:$AA$18,MATCH($B$3,每日经营日报!$A$5:$A$18,0)),0)</f>
        <v>215.147139069285</v>
      </c>
      <c r="C13" s="11" t="n">
        <f aca="false">INDEX(目标与口径!$F$5:$F$36,MATCH("splh",目标与口径!$A$5:$A$36,0))</f>
        <v>210</v>
      </c>
      <c r="D13" s="8" t="str">
        <f aca="false">IFERROR(IF(INDEX(目标与口径!$E$5:$E$36,MATCH("splh",目标与口径!$A$5:$A$36,0))="越高越好",IF($B$13&gt;=INDEX(目标与口径!$G$5:$G$36,MATCH("splh",目标与口径!$A$5:$A$36,0)),"绿",IF($B$13&gt;=INDEX(目标与口径!$H$5:$H$36,MATCH("splh",目标与口径!$A$5:$A$36,0)),"黄","红")),IF($B$13&lt;=INDEX(目标与口径!$G$5:$G$36,MATCH("splh",目标与口径!$A$5:$A$36,0)),"绿",IF($B$13&lt;=INDEX(目标与口径!$H$5:$H$36,MATCH("splh",目标与口径!$A$5:$A$36,0)),"黄","红"))),"—")</f>
        <v>绿</v>
      </c>
      <c r="E13" s="11" t="n">
        <f aca="false">INDEX(目标与口径!$G$5:$G$36,MATCH("splh",目标与口径!$A$5:$A$36,0))</f>
        <v>205</v>
      </c>
      <c r="F13" s="11" t="n">
        <f aca="false">INDEX(目标与口径!$H$5:$H$36,MATCH("splh",目标与口径!$A$5:$A$36,0))</f>
        <v>185</v>
      </c>
      <c r="G13" s="9" t="n">
        <f aca="false">IFERROR(MAX(0,IF(INDEX(目标与口径!$E$5:$E$36,MATCH("splh",目标与口径!$A$5:$A$36,0))="越高越好",INDEX(目标与口径!$G$5:$G$36,MATCH("splh",目标与口径!$A$5:$A$36,0))-$B$13,$B$13-INDEX(目标与口径!$G$5:$G$36,MATCH("splh",目标与口径!$A$5:$A$36,0)))/ABS(INDEX(目标与口径!$H$5:$H$36,MATCH("splh",目标与口径!$A$5:$A$36,0))-INDEX(目标与口径!$G$5:$G$36,MATCH("splh",目标与口径!$A$5:$A$36,0)))),0)</f>
        <v>0</v>
      </c>
      <c r="H13" s="10" t="str">
        <f aca="false">INDEX(目标与口径!$J$5:$J$36,MATCH("splh",目标与口径!$A$5:$A$36,0))</f>
        <v>值班经理</v>
      </c>
      <c r="I13" s="10" t="str">
        <f aca="false">INDEX(目标与口径!$N$5:$N$36,MATCH("splh",目标与口径!$A$5:$A$36,0))</f>
        <v>PB-07</v>
      </c>
    </row>
    <row r="14" customFormat="false" ht="15" hidden="false" customHeight="false" outlineLevel="0" collapsed="false">
      <c r="A14" s="3" t="s">
        <v>21</v>
      </c>
      <c r="B14" s="7" t="n">
        <f aca="false">IFERROR(INDEX(每日经营日报!$AI$5:$AI$18,MATCH($B$3,每日经营日报!$A$5:$A$18,0)),0)</f>
        <v>0.765984654731458</v>
      </c>
      <c r="C14" s="7" t="n">
        <f aca="false">INDEX(目标与口径!$F$5:$F$36,MATCH("speed_hit_rate",目标与口径!$A$5:$A$36,0))</f>
        <v>0.9</v>
      </c>
      <c r="D14" s="8" t="str">
        <f aca="false">IFERROR(IF(INDEX(目标与口径!$E$5:$E$36,MATCH("speed_hit_rate",目标与口径!$A$5:$A$36,0))="越高越好",IF($B$14&gt;=INDEX(目标与口径!$G$5:$G$36,MATCH("speed_hit_rate",目标与口径!$A$5:$A$36,0)),"绿",IF($B$14&gt;=INDEX(目标与口径!$H$5:$H$36,MATCH("speed_hit_rate",目标与口径!$A$5:$A$36,0)),"黄","红")),IF($B$14&lt;=INDEX(目标与口径!$G$5:$G$36,MATCH("speed_hit_rate",目标与口径!$A$5:$A$36,0)),"绿",IF($B$14&lt;=INDEX(目标与口径!$H$5:$H$36,MATCH("speed_hit_rate",目标与口径!$A$5:$A$36,0)),"黄","红"))),"—")</f>
        <v>红</v>
      </c>
      <c r="E14" s="7" t="n">
        <f aca="false">INDEX(目标与口径!$G$5:$G$36,MATCH("speed_hit_rate",目标与口径!$A$5:$A$36,0))</f>
        <v>0.88</v>
      </c>
      <c r="F14" s="7" t="n">
        <f aca="false">INDEX(目标与口径!$H$5:$H$36,MATCH("speed_hit_rate",目标与口径!$A$5:$A$36,0))</f>
        <v>0.8</v>
      </c>
      <c r="G14" s="9" t="n">
        <f aca="false">IFERROR(MAX(0,IF(INDEX(目标与口径!$E$5:$E$36,MATCH("speed_hit_rate",目标与口径!$A$5:$A$36,0))="越高越好",INDEX(目标与口径!$G$5:$G$36,MATCH("speed_hit_rate",目标与口径!$A$5:$A$36,0))-$B$14,$B$14-INDEX(目标与口径!$G$5:$G$36,MATCH("speed_hit_rate",目标与口径!$A$5:$A$36,0)))/ABS(INDEX(目标与口径!$H$5:$H$36,MATCH("speed_hit_rate",目标与口径!$A$5:$A$36,0))-INDEX(目标与口径!$G$5:$G$36,MATCH("speed_hit_rate",目标与口径!$A$5:$A$36,0)))),0)</f>
        <v>1.42519181585678</v>
      </c>
      <c r="H14" s="10" t="str">
        <f aca="false">INDEX(目标与口径!$J$5:$J$36,MATCH("speed_hit_rate",目标与口径!$A$5:$A$36,0))</f>
        <v>值班经理</v>
      </c>
      <c r="I14" s="10" t="str">
        <f aca="false">INDEX(目标与口径!$N$5:$N$36,MATCH("speed_hit_rate",目标与口径!$A$5:$A$36,0))</f>
        <v>PB-04</v>
      </c>
    </row>
    <row r="15" customFormat="false" ht="15" hidden="false" customHeight="false" outlineLevel="0" collapsed="false">
      <c r="A15" s="3" t="s">
        <v>22</v>
      </c>
      <c r="B15" s="11" t="n">
        <f aca="false">IFERROR(INDEX(每日经营日报!$AC$5:$AC$18,MATCH($B$3,每日经营日报!$A$5:$A$18,0)),0)</f>
        <v>158.34</v>
      </c>
      <c r="C15" s="11" t="n">
        <f aca="false">INDEX(目标与口径!$F$5:$F$36,MATCH("dt_total_time",目标与口径!$A$5:$A$36,0))</f>
        <v>180</v>
      </c>
      <c r="D15" s="8" t="str">
        <f aca="false">IFERROR(IF(INDEX(目标与口径!$E$5:$E$36,MATCH("dt_total_time",目标与口径!$A$5:$A$36,0))="越高越好",IF($B$15&gt;=INDEX(目标与口径!$G$5:$G$36,MATCH("dt_total_time",目标与口径!$A$5:$A$36,0)),"绿",IF($B$15&gt;=INDEX(目标与口径!$H$5:$H$36,MATCH("dt_total_time",目标与口径!$A$5:$A$36,0)),"黄","红")),IF($B$15&lt;=INDEX(目标与口径!$G$5:$G$36,MATCH("dt_total_time",目标与口径!$A$5:$A$36,0)),"绿",IF($B$15&lt;=INDEX(目标与口径!$H$5:$H$36,MATCH("dt_total_time",目标与口径!$A$5:$A$36,0)),"黄","红"))),"—")</f>
        <v>绿</v>
      </c>
      <c r="E15" s="11" t="n">
        <f aca="false">INDEX(目标与口径!$G$5:$G$36,MATCH("dt_total_time",目标与口径!$A$5:$A$36,0))</f>
        <v>190</v>
      </c>
      <c r="F15" s="11" t="n">
        <f aca="false">INDEX(目标与口径!$H$5:$H$36,MATCH("dt_total_time",目标与口径!$A$5:$A$36,0))</f>
        <v>215</v>
      </c>
      <c r="G15" s="9" t="n">
        <f aca="false">IFERROR(MAX(0,IF(INDEX(目标与口径!$E$5:$E$36,MATCH("dt_total_time",目标与口径!$A$5:$A$36,0))="越高越好",INDEX(目标与口径!$G$5:$G$36,MATCH("dt_total_time",目标与口径!$A$5:$A$36,0))-$B$15,$B$15-INDEX(目标与口径!$G$5:$G$36,MATCH("dt_total_time",目标与口径!$A$5:$A$36,0)))/ABS(INDEX(目标与口径!$H$5:$H$36,MATCH("dt_total_time",目标与口径!$A$5:$A$36,0))-INDEX(目标与口径!$G$5:$G$36,MATCH("dt_total_time",目标与口径!$A$5:$A$36,0)))),0)</f>
        <v>0</v>
      </c>
      <c r="H15" s="10" t="str">
        <f aca="false">INDEX(目标与口径!$J$5:$J$36,MATCH("dt_total_time",目标与口径!$A$5:$A$36,0))</f>
        <v>值班经理</v>
      </c>
      <c r="I15" s="10" t="str">
        <f aca="false">INDEX(目标与口径!$N$5:$N$36,MATCH("dt_total_time",目标与口径!$A$5:$A$36,0))</f>
        <v>PB-04</v>
      </c>
    </row>
    <row r="16" customFormat="false" ht="15" hidden="false" customHeight="false" outlineLevel="0" collapsed="false">
      <c r="A16" s="3" t="s">
        <v>23</v>
      </c>
      <c r="B16" s="7" t="n">
        <f aca="false">IFERROR(INDEX(每日经营日报!$AK$5:$AK$18,MATCH($B$3,每日经营日报!$A$5:$A$18,0)),0)</f>
        <v>0.999360613810742</v>
      </c>
      <c r="C16" s="7" t="n">
        <f aca="false">INDEX(目标与口径!$F$5:$F$36,MATCH("order_accuracy",目标与口径!$A$5:$A$36,0))</f>
        <v>0.996</v>
      </c>
      <c r="D16" s="8" t="str">
        <f aca="false">IFERROR(IF(INDEX(目标与口径!$E$5:$E$36,MATCH("order_accuracy",目标与口径!$A$5:$A$36,0))="越高越好",IF($B$16&gt;=INDEX(目标与口径!$G$5:$G$36,MATCH("order_accuracy",目标与口径!$A$5:$A$36,0)),"绿",IF($B$16&gt;=INDEX(目标与口径!$H$5:$H$36,MATCH("order_accuracy",目标与口径!$A$5:$A$36,0)),"黄","红")),IF($B$16&lt;=INDEX(目标与口径!$G$5:$G$36,MATCH("order_accuracy",目标与口径!$A$5:$A$36,0)),"绿",IF($B$16&lt;=INDEX(目标与口径!$H$5:$H$36,MATCH("order_accuracy",目标与口径!$A$5:$A$36,0)),"黄","红"))),"—")</f>
        <v>绿</v>
      </c>
      <c r="E16" s="7" t="n">
        <f aca="false">INDEX(目标与口径!$G$5:$G$36,MATCH("order_accuracy",目标与口径!$A$5:$A$36,0))</f>
        <v>0.994</v>
      </c>
      <c r="F16" s="7" t="n">
        <f aca="false">INDEX(目标与口径!$H$5:$H$36,MATCH("order_accuracy",目标与口径!$A$5:$A$36,0))</f>
        <v>0.99</v>
      </c>
      <c r="G16" s="9" t="n">
        <f aca="false">IFERROR(MAX(0,IF(INDEX(目标与口径!$E$5:$E$36,MATCH("order_accuracy",目标与口径!$A$5:$A$36,0))="越高越好",INDEX(目标与口径!$G$5:$G$36,MATCH("order_accuracy",目标与口径!$A$5:$A$36,0))-$B$16,$B$16-INDEX(目标与口径!$G$5:$G$36,MATCH("order_accuracy",目标与口径!$A$5:$A$36,0)))/ABS(INDEX(目标与口径!$H$5:$H$36,MATCH("order_accuracy",目标与口径!$A$5:$A$36,0))-INDEX(目标与口径!$G$5:$G$36,MATCH("order_accuracy",目标与口径!$A$5:$A$36,0)))),0)</f>
        <v>0</v>
      </c>
      <c r="H16" s="10" t="str">
        <f aca="false">INDEX(目标与口径!$J$5:$J$36,MATCH("order_accuracy",目标与口径!$A$5:$A$36,0))</f>
        <v>值班经理</v>
      </c>
      <c r="I16" s="10" t="str">
        <f aca="false">INDEX(目标与口径!$N$5:$N$36,MATCH("order_accuracy",目标与口径!$A$5:$A$36,0))</f>
        <v>PB-05</v>
      </c>
    </row>
    <row r="17" customFormat="false" ht="15" hidden="false" customHeight="false" outlineLevel="0" collapsed="false">
      <c r="A17" s="3" t="s">
        <v>24</v>
      </c>
      <c r="B17" s="12" t="n">
        <f aca="false">IFERROR(INDEX(每日经营日报!$AM$5:$AM$18,MATCH($B$3,每日经营日报!$A$5:$A$18,0)),0)</f>
        <v>100</v>
      </c>
      <c r="C17" s="12" t="n">
        <f aca="false">INDEX(目标与口径!$F$5:$F$36,MATCH("food_safety_score",目标与口径!$A$5:$A$36,0))</f>
        <v>100</v>
      </c>
      <c r="D17" s="8" t="str">
        <f aca="false">IFERROR(IF(INDEX(目标与口径!$E$5:$E$36,MATCH("food_safety_score",目标与口径!$A$5:$A$36,0))="越高越好",IF($B$17&gt;=INDEX(目标与口径!$G$5:$G$36,MATCH("food_safety_score",目标与口径!$A$5:$A$36,0)),"绿",IF($B$17&gt;=INDEX(目标与口径!$H$5:$H$36,MATCH("food_safety_score",目标与口径!$A$5:$A$36,0)),"黄","红")),IF($B$17&lt;=INDEX(目标与口径!$G$5:$G$36,MATCH("food_safety_score",目标与口径!$A$5:$A$36,0)),"绿",IF($B$17&lt;=INDEX(目标与口径!$H$5:$H$36,MATCH("food_safety_score",目标与口径!$A$5:$A$36,0)),"黄","红"))),"—")</f>
        <v>绿</v>
      </c>
      <c r="E17" s="12" t="n">
        <f aca="false">INDEX(目标与口径!$G$5:$G$36,MATCH("food_safety_score",目标与口径!$A$5:$A$36,0))</f>
        <v>98</v>
      </c>
      <c r="F17" s="12" t="n">
        <f aca="false">INDEX(目标与口径!$H$5:$H$36,MATCH("food_safety_score",目标与口径!$A$5:$A$36,0))</f>
        <v>95</v>
      </c>
      <c r="G17" s="9" t="n">
        <f aca="false">IFERROR(MAX(0,IF(INDEX(目标与口径!$E$5:$E$36,MATCH("food_safety_score",目标与口径!$A$5:$A$36,0))="越高越好",INDEX(目标与口径!$G$5:$G$36,MATCH("food_safety_score",目标与口径!$A$5:$A$36,0))-$B$17,$B$17-INDEX(目标与口径!$G$5:$G$36,MATCH("food_safety_score",目标与口径!$A$5:$A$36,0)))/ABS(INDEX(目标与口径!$H$5:$H$36,MATCH("food_safety_score",目标与口径!$A$5:$A$36,0))-INDEX(目标与口径!$G$5:$G$36,MATCH("food_safety_score",目标与口径!$A$5:$A$36,0)))),0)</f>
        <v>0</v>
      </c>
      <c r="H17" s="10" t="str">
        <f aca="false">INDEX(目标与口径!$J$5:$J$36,MATCH("food_safety_score",目标与口径!$A$5:$A$36,0))</f>
        <v>店长</v>
      </c>
      <c r="I17" s="10" t="str">
        <f aca="false">INDEX(目标与口径!$N$5:$N$36,MATCH("food_safety_score",目标与口径!$A$5:$A$36,0))</f>
        <v>PB-09</v>
      </c>
    </row>
    <row r="18" customFormat="false" ht="15" hidden="false" customHeight="false" outlineLevel="0" collapsed="false">
      <c r="A18" s="3" t="s">
        <v>25</v>
      </c>
      <c r="B18" s="11" t="n">
        <f aca="false">IFERROR(INDEX(每日经营日报!$AN$5:$AN$18,MATCH($B$3,每日经营日报!$A$5:$A$18,0)),0)</f>
        <v>0</v>
      </c>
      <c r="C18" s="11" t="n">
        <f aca="false">INDEX(目标与口径!$F$5:$F$36,MATCH("critical_temp_fail",目标与口径!$A$5:$A$36,0))</f>
        <v>0</v>
      </c>
      <c r="D18" s="8" t="str">
        <f aca="false">IFERROR(IF(INDEX(目标与口径!$E$5:$E$36,MATCH("critical_temp_fail",目标与口径!$A$5:$A$36,0))="越高越好",IF($B$18&gt;=INDEX(目标与口径!$G$5:$G$36,MATCH("critical_temp_fail",目标与口径!$A$5:$A$36,0)),"绿",IF($B$18&gt;=INDEX(目标与口径!$H$5:$H$36,MATCH("critical_temp_fail",目标与口径!$A$5:$A$36,0)),"黄","红")),IF($B$18&lt;=INDEX(目标与口径!$G$5:$G$36,MATCH("critical_temp_fail",目标与口径!$A$5:$A$36,0)),"绿",IF($B$18&lt;=INDEX(目标与口径!$H$5:$H$36,MATCH("critical_temp_fail",目标与口径!$A$5:$A$36,0)),"黄","红"))),"—")</f>
        <v>绿</v>
      </c>
      <c r="E18" s="11" t="n">
        <f aca="false">INDEX(目标与口径!$G$5:$G$36,MATCH("critical_temp_fail",目标与口径!$A$5:$A$36,0))</f>
        <v>0</v>
      </c>
      <c r="F18" s="11" t="n">
        <f aca="false">INDEX(目标与口径!$H$5:$H$36,MATCH("critical_temp_fail",目标与口径!$A$5:$A$36,0))</f>
        <v>1</v>
      </c>
      <c r="G18" s="9" t="n">
        <f aca="false">IFERROR(MAX(0,IF(INDEX(目标与口径!$E$5:$E$36,MATCH("critical_temp_fail",目标与口径!$A$5:$A$36,0))="越高越好",INDEX(目标与口径!$G$5:$G$36,MATCH("critical_temp_fail",目标与口径!$A$5:$A$36,0))-$B$18,$B$18-INDEX(目标与口径!$G$5:$G$36,MATCH("critical_temp_fail",目标与口径!$A$5:$A$36,0)))/ABS(INDEX(目标与口径!$H$5:$H$36,MATCH("critical_temp_fail",目标与口径!$A$5:$A$36,0))-INDEX(目标与口径!$G$5:$G$36,MATCH("critical_temp_fail",目标与口径!$A$5:$A$36,0)))),0)</f>
        <v>0</v>
      </c>
      <c r="H18" s="10" t="str">
        <f aca="false">INDEX(目标与口径!$J$5:$J$36,MATCH("critical_temp_fail",目标与口径!$A$5:$A$36,0))</f>
        <v>值班经理</v>
      </c>
      <c r="I18" s="10" t="str">
        <f aca="false">INDEX(目标与口径!$N$5:$N$36,MATCH("critical_temp_fail",目标与口径!$A$5:$A$36,0))</f>
        <v>PB-09</v>
      </c>
    </row>
    <row r="19" customFormat="false" ht="15" hidden="false" customHeight="false" outlineLevel="0" collapsed="false">
      <c r="A19" s="3" t="s">
        <v>26</v>
      </c>
      <c r="B19" s="11" t="n">
        <f aca="false">IFERROR(INDEX(每日经营日报!$AS$5:$AS$18,MATCH($B$3,每日经营日报!$A$5:$A$18,0)),0)</f>
        <v>76</v>
      </c>
      <c r="C19" s="11" t="n">
        <f aca="false">INDEX(目标与口径!$F$5:$F$36,MATCH("equipment_downtime",目标与口径!$A$5:$A$36,0))</f>
        <v>0</v>
      </c>
      <c r="D19" s="8" t="str">
        <f aca="false">IFERROR(IF(INDEX(目标与口径!$E$5:$E$36,MATCH("equipment_downtime",目标与口径!$A$5:$A$36,0))="越高越好",IF($B$19&gt;=INDEX(目标与口径!$G$5:$G$36,MATCH("equipment_downtime",目标与口径!$A$5:$A$36,0)),"绿",IF($B$19&gt;=INDEX(目标与口径!$H$5:$H$36,MATCH("equipment_downtime",目标与口径!$A$5:$A$36,0)),"黄","红")),IF($B$19&lt;=INDEX(目标与口径!$G$5:$G$36,MATCH("equipment_downtime",目标与口径!$A$5:$A$36,0)),"绿",IF($B$19&lt;=INDEX(目标与口径!$H$5:$H$36,MATCH("equipment_downtime",目标与口径!$A$5:$A$36,0)),"黄","红"))),"—")</f>
        <v>红</v>
      </c>
      <c r="E19" s="11" t="n">
        <f aca="false">INDEX(目标与口径!$G$5:$G$36,MATCH("equipment_downtime",目标与口径!$A$5:$A$36,0))</f>
        <v>15</v>
      </c>
      <c r="F19" s="11" t="n">
        <f aca="false">INDEX(目标与口径!$H$5:$H$36,MATCH("equipment_downtime",目标与口径!$A$5:$A$36,0))</f>
        <v>60</v>
      </c>
      <c r="G19" s="9" t="n">
        <f aca="false">IFERROR(MAX(0,IF(INDEX(目标与口径!$E$5:$E$36,MATCH("equipment_downtime",目标与口径!$A$5:$A$36,0))="越高越好",INDEX(目标与口径!$G$5:$G$36,MATCH("equipment_downtime",目标与口径!$A$5:$A$36,0))-$B$19,$B$19-INDEX(目标与口径!$G$5:$G$36,MATCH("equipment_downtime",目标与口径!$A$5:$A$36,0)))/ABS(INDEX(目标与口径!$H$5:$H$36,MATCH("equipment_downtime",目标与口径!$A$5:$A$36,0))-INDEX(目标与口径!$G$5:$G$36,MATCH("equipment_downtime",目标与口径!$A$5:$A$36,0)))),0)</f>
        <v>1.35555555555556</v>
      </c>
      <c r="H19" s="10" t="str">
        <f aca="false">INDEX(目标与口径!$J$5:$J$36,MATCH("equipment_downtime",目标与口径!$A$5:$A$36,0))</f>
        <v>店长</v>
      </c>
      <c r="I19" s="10" t="str">
        <f aca="false">INDEX(目标与口径!$N$5:$N$36,MATCH("equipment_downtime",目标与口径!$A$5:$A$36,0))</f>
        <v>PB-11</v>
      </c>
    </row>
    <row r="20" customFormat="false" ht="15" hidden="false" customHeight="false" outlineLevel="0" collapsed="false">
      <c r="A20" s="3" t="s">
        <v>27</v>
      </c>
      <c r="B20" s="7" t="n">
        <f aca="false">IFERROR(INDEX(每日经营日报!$AV$5:$AV$18,MATCH($B$3,每日经营日报!$A$5:$A$18,0)),0)</f>
        <v>1</v>
      </c>
      <c r="C20" s="7" t="n">
        <f aca="false">INDEX(目标与口径!$F$5:$F$36,MATCH("attendance_rate",目标与口径!$A$5:$A$36,0))</f>
        <v>1</v>
      </c>
      <c r="D20" s="8" t="str">
        <f aca="false">IFERROR(IF(INDEX(目标与口径!$E$5:$E$36,MATCH("attendance_rate",目标与口径!$A$5:$A$36,0))="越高越好",IF($B$20&gt;=INDEX(目标与口径!$G$5:$G$36,MATCH("attendance_rate",目标与口径!$A$5:$A$36,0)),"绿",IF($B$20&gt;=INDEX(目标与口径!$H$5:$H$36,MATCH("attendance_rate",目标与口径!$A$5:$A$36,0)),"黄","红")),IF($B$20&lt;=INDEX(目标与口径!$G$5:$G$36,MATCH("attendance_rate",目标与口径!$A$5:$A$36,0)),"绿",IF($B$20&lt;=INDEX(目标与口径!$H$5:$H$36,MATCH("attendance_rate",目标与口径!$A$5:$A$36,0)),"黄","红"))),"—")</f>
        <v>绿</v>
      </c>
      <c r="E20" s="7" t="n">
        <f aca="false">INDEX(目标与口径!$G$5:$G$36,MATCH("attendance_rate",目标与口径!$A$5:$A$36,0))</f>
        <v>0.97</v>
      </c>
      <c r="F20" s="7" t="n">
        <f aca="false">INDEX(目标与口径!$H$5:$H$36,MATCH("attendance_rate",目标与口径!$A$5:$A$36,0))</f>
        <v>0.92</v>
      </c>
      <c r="G20" s="9" t="n">
        <f aca="false">IFERROR(MAX(0,IF(INDEX(目标与口径!$E$5:$E$36,MATCH("attendance_rate",目标与口径!$A$5:$A$36,0))="越高越好",INDEX(目标与口径!$G$5:$G$36,MATCH("attendance_rate",目标与口径!$A$5:$A$36,0))-$B$20,$B$20-INDEX(目标与口径!$G$5:$G$36,MATCH("attendance_rate",目标与口径!$A$5:$A$36,0)))/ABS(INDEX(目标与口径!$H$5:$H$36,MATCH("attendance_rate",目标与口径!$A$5:$A$36,0))-INDEX(目标与口径!$G$5:$G$36,MATCH("attendance_rate",目标与口径!$A$5:$A$36,0)))),0)</f>
        <v>0</v>
      </c>
      <c r="H20" s="10" t="str">
        <f aca="false">INDEX(目标与口径!$J$5:$J$36,MATCH("attendance_rate",目标与口径!$A$5:$A$36,0))</f>
        <v>值班经理</v>
      </c>
      <c r="I20" s="10" t="str">
        <f aca="false">INDEX(目标与口径!$N$5:$N$36,MATCH("attendance_rate",目标与口径!$A$5:$A$36,0))</f>
        <v>PB-07</v>
      </c>
    </row>
    <row r="21" customFormat="false" ht="15" hidden="false" customHeight="false" outlineLevel="0" collapsed="false">
      <c r="A21" s="3" t="s">
        <v>28</v>
      </c>
      <c r="B21" s="7" t="n">
        <f aca="false">IFERROR(INDEX(每日经营日报!$AX$5:$AX$18,MATCH($B$3,每日经营日报!$A$5:$A$18,0)),0)</f>
        <v>0.105263157894737</v>
      </c>
      <c r="C21" s="7" t="n">
        <f aca="false">INDEX(目标与口径!$F$5:$F$36,MATCH("late_rate",目标与口径!$A$5:$A$36,0))</f>
        <v>0.02</v>
      </c>
      <c r="D21" s="8" t="str">
        <f aca="false">IFERROR(IF(INDEX(目标与口径!$E$5:$E$36,MATCH("late_rate",目标与口径!$A$5:$A$36,0))="越高越好",IF($B$21&gt;=INDEX(目标与口径!$G$5:$G$36,MATCH("late_rate",目标与口径!$A$5:$A$36,0)),"绿",IF($B$21&gt;=INDEX(目标与口径!$H$5:$H$36,MATCH("late_rate",目标与口径!$A$5:$A$36,0)),"黄","红")),IF($B$21&lt;=INDEX(目标与口径!$G$5:$G$36,MATCH("late_rate",目标与口径!$A$5:$A$36,0)),"绿",IF($B$21&lt;=INDEX(目标与口径!$H$5:$H$36,MATCH("late_rate",目标与口径!$A$5:$A$36,0)),"黄","红"))),"—")</f>
        <v>红</v>
      </c>
      <c r="E21" s="7" t="n">
        <f aca="false">INDEX(目标与口径!$G$5:$G$36,MATCH("late_rate",目标与口径!$A$5:$A$36,0))</f>
        <v>0.03</v>
      </c>
      <c r="F21" s="7" t="n">
        <f aca="false">INDEX(目标与口径!$H$5:$H$36,MATCH("late_rate",目标与口径!$A$5:$A$36,0))</f>
        <v>0.08</v>
      </c>
      <c r="G21" s="9" t="n">
        <f aca="false">IFERROR(MAX(0,IF(INDEX(目标与口径!$E$5:$E$36,MATCH("late_rate",目标与口径!$A$5:$A$36,0))="越高越好",INDEX(目标与口径!$G$5:$G$36,MATCH("late_rate",目标与口径!$A$5:$A$36,0))-$B$21,$B$21-INDEX(目标与口径!$G$5:$G$36,MATCH("late_rate",目标与口径!$A$5:$A$36,0)))/ABS(INDEX(目标与口径!$H$5:$H$36,MATCH("late_rate",目标与口径!$A$5:$A$36,0))-INDEX(目标与口径!$G$5:$G$36,MATCH("late_rate",目标与口径!$A$5:$A$36,0)))),0)</f>
        <v>1.50526315789474</v>
      </c>
      <c r="H21" s="10" t="str">
        <f aca="false">INDEX(目标与口径!$J$5:$J$36,MATCH("late_rate",目标与口径!$A$5:$A$36,0))</f>
        <v>组长</v>
      </c>
      <c r="I21" s="10" t="str">
        <f aca="false">INDEX(目标与口径!$N$5:$N$36,MATCH("late_rate",目标与口径!$A$5:$A$36,0))</f>
        <v>PB-07</v>
      </c>
    </row>
    <row r="22" customFormat="false" ht="15" hidden="false" customHeight="false" outlineLevel="0" collapsed="false">
      <c r="A22" s="3" t="s">
        <v>29</v>
      </c>
      <c r="B22" s="12" t="n">
        <f aca="false">IFERROR(INDEX(每日经营日报!$BD$5:$BD$18,MATCH($B$3,每日经营日报!$A$5:$A$18,0)),0)</f>
        <v>92.5714285714286</v>
      </c>
      <c r="C22" s="12" t="n">
        <f aca="false">INDEX(目标与口径!$F$5:$F$36,MATCH("csat",目标与口径!$A$5:$A$36,0))</f>
        <v>88</v>
      </c>
      <c r="D22" s="8" t="str">
        <f aca="false">IFERROR(IF(INDEX(目标与口径!$E$5:$E$36,MATCH("csat",目标与口径!$A$5:$A$36,0))="越高越好",IF($B$22&gt;=INDEX(目标与口径!$G$5:$G$36,MATCH("csat",目标与口径!$A$5:$A$36,0)),"绿",IF($B$22&gt;=INDEX(目标与口径!$H$5:$H$36,MATCH("csat",目标与口径!$A$5:$A$36,0)),"黄","红")),IF($B$22&lt;=INDEX(目标与口径!$G$5:$G$36,MATCH("csat",目标与口径!$A$5:$A$36,0)),"绿",IF($B$22&lt;=INDEX(目标与口径!$H$5:$H$36,MATCH("csat",目标与口径!$A$5:$A$36,0)),"黄","红"))),"—")</f>
        <v>绿</v>
      </c>
      <c r="E22" s="12" t="n">
        <f aca="false">INDEX(目标与口径!$G$5:$G$36,MATCH("csat",目标与口径!$A$5:$A$36,0))</f>
        <v>85</v>
      </c>
      <c r="F22" s="12" t="n">
        <f aca="false">INDEX(目标与口径!$H$5:$H$36,MATCH("csat",目标与口径!$A$5:$A$36,0))</f>
        <v>78</v>
      </c>
      <c r="G22" s="9" t="n">
        <f aca="false">IFERROR(MAX(0,IF(INDEX(目标与口径!$E$5:$E$36,MATCH("csat",目标与口径!$A$5:$A$36,0))="越高越好",INDEX(目标与口径!$G$5:$G$36,MATCH("csat",目标与口径!$A$5:$A$36,0))-$B$22,$B$22-INDEX(目标与口径!$G$5:$G$36,MATCH("csat",目标与口径!$A$5:$A$36,0)))/ABS(INDEX(目标与口径!$H$5:$H$36,MATCH("csat",目标与口径!$A$5:$A$36,0))-INDEX(目标与口径!$G$5:$G$36,MATCH("csat",目标与口径!$A$5:$A$36,0)))),0)</f>
        <v>0</v>
      </c>
      <c r="H22" s="10" t="str">
        <f aca="false">INDEX(目标与口径!$J$5:$J$36,MATCH("csat",目标与口径!$A$5:$A$36,0))</f>
        <v>店长</v>
      </c>
      <c r="I22" s="10" t="str">
        <f aca="false">INDEX(目标与口径!$N$5:$N$36,MATCH("csat",目标与口径!$A$5:$A$36,0))</f>
        <v>PB-05</v>
      </c>
    </row>
    <row r="23" customFormat="false" ht="15" hidden="false" customHeight="false" outlineLevel="0" collapsed="false">
      <c r="A23" s="3" t="s">
        <v>30</v>
      </c>
      <c r="B23" s="12" t="n">
        <f aca="false">IFERROR(INDEX(每日经营日报!$BE$5:$BE$18,MATCH($B$3,每日经营日报!$A$5:$A$18,0)),0)</f>
        <v>4.1375</v>
      </c>
      <c r="C23" s="12" t="n">
        <f aca="false">INDEX(目标与口径!$F$5:$F$36,MATCH("delivery_rating",目标与口径!$A$5:$A$36,0))</f>
        <v>4.8</v>
      </c>
      <c r="D23" s="8" t="str">
        <f aca="false">IFERROR(IF(INDEX(目标与口径!$E$5:$E$36,MATCH("delivery_rating",目标与口径!$A$5:$A$36,0))="越高越好",IF($B$23&gt;=INDEX(目标与口径!$G$5:$G$36,MATCH("delivery_rating",目标与口径!$A$5:$A$36,0)),"绿",IF($B$23&gt;=INDEX(目标与口径!$H$5:$H$36,MATCH("delivery_rating",目标与口径!$A$5:$A$36,0)),"黄","红")),IF($B$23&lt;=INDEX(目标与口径!$G$5:$G$36,MATCH("delivery_rating",目标与口径!$A$5:$A$36,0)),"绿",IF($B$23&lt;=INDEX(目标与口径!$H$5:$H$36,MATCH("delivery_rating",目标与口径!$A$5:$A$36,0)),"黄","红"))),"—")</f>
        <v>红</v>
      </c>
      <c r="E23" s="12" t="n">
        <f aca="false">INDEX(目标与口径!$G$5:$G$36,MATCH("delivery_rating",目标与口径!$A$5:$A$36,0))</f>
        <v>4.7</v>
      </c>
      <c r="F23" s="12" t="n">
        <f aca="false">INDEX(目标与口径!$H$5:$H$36,MATCH("delivery_rating",目标与口径!$A$5:$A$36,0))</f>
        <v>4.5</v>
      </c>
      <c r="G23" s="9" t="n">
        <f aca="false">IFERROR(MAX(0,IF(INDEX(目标与口径!$E$5:$E$36,MATCH("delivery_rating",目标与口径!$A$5:$A$36,0))="越高越好",INDEX(目标与口径!$G$5:$G$36,MATCH("delivery_rating",目标与口径!$A$5:$A$36,0))-$B$23,$B$23-INDEX(目标与口径!$G$5:$G$36,MATCH("delivery_rating",目标与口径!$A$5:$A$36,0)))/ABS(INDEX(目标与口径!$H$5:$H$36,MATCH("delivery_rating",目标与口径!$A$5:$A$36,0))-INDEX(目标与口径!$G$5:$G$36,MATCH("delivery_rating",目标与口径!$A$5:$A$36,0)))),0)</f>
        <v>2.8125</v>
      </c>
      <c r="H23" s="10" t="str">
        <f aca="false">INDEX(目标与口径!$J$5:$J$36,MATCH("delivery_rating",目标与口径!$A$5:$A$36,0))</f>
        <v>店长</v>
      </c>
      <c r="I23" s="10" t="str">
        <f aca="false">INDEX(目标与口径!$N$5:$N$36,MATCH("delivery_rating",目标与口径!$A$5:$A$36,0))</f>
        <v>PB-03</v>
      </c>
    </row>
    <row r="25" customFormat="false" ht="24" hidden="false" customHeight="true" outlineLevel="0" collapsed="false">
      <c r="A25" s="13" t="s">
        <v>31</v>
      </c>
      <c r="B25" s="13"/>
      <c r="C25" s="13"/>
      <c r="D25" s="13"/>
      <c r="E25" s="13"/>
      <c r="F25" s="13"/>
      <c r="G25" s="13"/>
      <c r="H25" s="13"/>
      <c r="I25" s="13"/>
    </row>
    <row r="26" customFormat="false" ht="30" hidden="false" customHeight="true" outlineLevel="0" collapsed="false">
      <c r="A26" s="6" t="s">
        <v>32</v>
      </c>
      <c r="B26" s="6" t="s">
        <v>33</v>
      </c>
      <c r="C26" s="6" t="s">
        <v>34</v>
      </c>
      <c r="D26" s="6" t="s">
        <v>35</v>
      </c>
      <c r="E26" s="6" t="s">
        <v>7</v>
      </c>
      <c r="F26" s="6"/>
      <c r="G26" s="6"/>
      <c r="H26" s="6"/>
      <c r="I26" s="6"/>
    </row>
    <row r="27" customFormat="false" ht="15" hidden="false" customHeight="false" outlineLevel="0" collapsed="false">
      <c r="A27" s="3" t="s">
        <v>36</v>
      </c>
      <c r="B27" s="14" t="n">
        <f aca="false">COUNTIF(($D$6~$D$7~$D$8~$D$9),"绿")</f>
        <v>1</v>
      </c>
      <c r="C27" s="14" t="n">
        <f aca="false">COUNTIF(($D$6~$D$7~$D$8~$D$9),"黄")</f>
        <v>3</v>
      </c>
      <c r="D27" s="14" t="n">
        <f aca="false">COUNTIF(($D$6~$D$7~$D$8~$D$9),"红")</f>
        <v>0</v>
      </c>
      <c r="E27" s="8" t="str">
        <f aca="false">IF(D27&gt;0,"红",IF(C27&gt;0,"黄","绿"))</f>
        <v>黄</v>
      </c>
    </row>
    <row r="28" customFormat="false" ht="15" hidden="false" customHeight="false" outlineLevel="0" collapsed="false">
      <c r="A28" s="3" t="s">
        <v>37</v>
      </c>
      <c r="B28" s="14" t="n">
        <f aca="false">COUNTIF(($D$14~$D$15~$D$16),"绿")</f>
        <v>2</v>
      </c>
      <c r="C28" s="14" t="n">
        <f aca="false">COUNTIF(($D$14~$D$15~$D$16),"黄")</f>
        <v>0</v>
      </c>
      <c r="D28" s="14" t="n">
        <f aca="false">COUNTIF(($D$14~$D$15~$D$16),"红")</f>
        <v>1</v>
      </c>
      <c r="E28" s="8" t="str">
        <f aca="false">IF(D28&gt;0,"红",IF(C28&gt;0,"黄","绿"))</f>
        <v>红</v>
      </c>
    </row>
    <row r="29" customFormat="false" ht="15" hidden="false" customHeight="false" outlineLevel="0" collapsed="false">
      <c r="A29" s="3" t="s">
        <v>38</v>
      </c>
      <c r="B29" s="14" t="n">
        <f aca="false">COUNTIF(($D$10~$D$11~$D$12~$D$13),"绿")</f>
        <v>2</v>
      </c>
      <c r="C29" s="14" t="n">
        <f aca="false">COUNTIF(($D$10~$D$11~$D$12~$D$13),"黄")</f>
        <v>2</v>
      </c>
      <c r="D29" s="14" t="n">
        <f aca="false">COUNTIF(($D$10~$D$11~$D$12~$D$13),"红")</f>
        <v>0</v>
      </c>
      <c r="E29" s="8" t="str">
        <f aca="false">IF(D29&gt;0,"红",IF(C29&gt;0,"黄","绿"))</f>
        <v>黄</v>
      </c>
    </row>
    <row r="30" customFormat="false" ht="15" hidden="false" customHeight="false" outlineLevel="0" collapsed="false">
      <c r="A30" s="3" t="s">
        <v>39</v>
      </c>
      <c r="B30" s="14" t="n">
        <f aca="false">COUNTIF(($D$17~$D$18~$D$19),"绿")</f>
        <v>2</v>
      </c>
      <c r="C30" s="14" t="n">
        <f aca="false">COUNTIF(($D$17~$D$18~$D$19),"黄")</f>
        <v>0</v>
      </c>
      <c r="D30" s="14" t="n">
        <f aca="false">COUNTIF(($D$17~$D$18~$D$19),"红")</f>
        <v>1</v>
      </c>
      <c r="E30" s="8" t="str">
        <f aca="false">IF(D30&gt;0,"红",IF(C30&gt;0,"黄","绿"))</f>
        <v>红</v>
      </c>
    </row>
    <row r="31" customFormat="false" ht="15" hidden="false" customHeight="false" outlineLevel="0" collapsed="false">
      <c r="A31" s="3" t="s">
        <v>40</v>
      </c>
      <c r="B31" s="14" t="n">
        <f aca="false">COUNTIF(($D$20~$D$21),"绿")</f>
        <v>1</v>
      </c>
      <c r="C31" s="14" t="n">
        <f aca="false">COUNTIF(($D$20~$D$21),"黄")</f>
        <v>0</v>
      </c>
      <c r="D31" s="14" t="n">
        <f aca="false">COUNTIF(($D$20~$D$21),"红")</f>
        <v>1</v>
      </c>
      <c r="E31" s="8" t="str">
        <f aca="false">IF(D31&gt;0,"红",IF(C31&gt;0,"黄","绿"))</f>
        <v>红</v>
      </c>
    </row>
    <row r="32" customFormat="false" ht="15" hidden="false" customHeight="false" outlineLevel="0" collapsed="false">
      <c r="A32" s="3" t="s">
        <v>41</v>
      </c>
      <c r="B32" s="14" t="n">
        <f aca="false">COUNTIF(($D$22~$D$23),"绿")</f>
        <v>1</v>
      </c>
      <c r="C32" s="14" t="n">
        <f aca="false">COUNTIF(($D$22~$D$23),"黄")</f>
        <v>0</v>
      </c>
      <c r="D32" s="14" t="n">
        <f aca="false">COUNTIF(($D$22~$D$23),"红")</f>
        <v>1</v>
      </c>
      <c r="E32" s="8" t="str">
        <f aca="false">IF(D32&gt;0,"红",IF(C32&gt;0,"黄","绿"))</f>
        <v>红</v>
      </c>
    </row>
    <row r="34" customFormat="false" ht="24" hidden="false" customHeight="true" outlineLevel="0" collapsed="false">
      <c r="A34" s="13" t="s">
        <v>42</v>
      </c>
      <c r="B34" s="13"/>
      <c r="C34" s="13"/>
      <c r="D34" s="13"/>
      <c r="E34" s="13"/>
      <c r="F34" s="13"/>
      <c r="G34" s="13"/>
      <c r="H34" s="13"/>
      <c r="I34" s="13"/>
    </row>
    <row r="35" customFormat="false" ht="30" hidden="false" customHeight="true" outlineLevel="0" collapsed="false">
      <c r="A35" s="15" t="s">
        <v>43</v>
      </c>
      <c r="B35" s="6" t="s">
        <v>4</v>
      </c>
      <c r="C35" s="6" t="s">
        <v>5</v>
      </c>
      <c r="D35" s="6" t="s">
        <v>7</v>
      </c>
      <c r="E35" s="6" t="s">
        <v>44</v>
      </c>
      <c r="F35" s="6" t="s">
        <v>11</v>
      </c>
      <c r="G35" s="6" t="s">
        <v>12</v>
      </c>
      <c r="H35" s="6" t="s">
        <v>45</v>
      </c>
      <c r="I35" s="6" t="s">
        <v>46</v>
      </c>
    </row>
    <row r="36" customFormat="false" ht="27.75" hidden="false" customHeight="true" outlineLevel="0" collapsed="false">
      <c r="A36" s="16" t="n">
        <v>1</v>
      </c>
      <c r="B36" s="17" t="str">
        <f aca="false">IFERROR(INDEX(优先级矩阵!$B$5:$B$36,MATCH(LARGE(优先级矩阵!$J$5:$J$36,1),优先级矩阵!$J$5:$J$36,0)),"")</f>
        <v>外卖平台评分</v>
      </c>
      <c r="C36" s="18" t="n">
        <f aca="false">IFERROR(INDEX(优先级矩阵!$C$5:$C$36,MATCH(LARGE(优先级矩阵!$J$5:$J$36,1),优先级矩阵!$J$5:$J$36,0)),"")</f>
        <v>4.1375</v>
      </c>
      <c r="D36" s="10" t="str">
        <f aca="false">IFERROR(INDEX(优先级矩阵!$E$5:$E$36,MATCH(LARGE(优先级矩阵!$J$5:$J$36,1),优先级矩阵!$J$5:$J$36,0)),"")</f>
        <v>红</v>
      </c>
      <c r="E36" s="10" t="str">
        <f aca="false">IFERROR(INDEX(优先级矩阵!$H$5:$H$36,MATCH(LARGE(优先级矩阵!$J$5:$J$36,1),优先级矩阵!$J$5:$J$36,0)),"")</f>
        <v>Q2 上报求援</v>
      </c>
      <c r="F36" s="10" t="str">
        <f aca="false">IFERROR(INDEX(优先级矩阵!$I$5:$I$36,MATCH(LARGE(优先级矩阵!$J$5:$J$36,1),优先级矩阵!$J$5:$J$36,0)),"")</f>
        <v>店长</v>
      </c>
      <c r="G36" s="10" t="str">
        <f aca="false">IFERROR(INDEX(优先级矩阵!$K$5:$K$36,MATCH(LARGE(优先级矩阵!$J$5:$J$36,1),优先级矩阵!$J$5:$J$36,0)),"")</f>
        <v>PB-03</v>
      </c>
      <c r="H36" s="9" t="n">
        <f aca="false">IFERROR(INDEX(优先级矩阵!$J$5:$J$36,MATCH(LARGE(优先级矩阵!$J$5:$J$36,1),优先级矩阵!$J$5:$J$36,0)),"")</f>
        <v>2.17</v>
      </c>
      <c r="I36" s="19" t="str">
        <f aca="false">IFERROR(INDEX(优先级矩阵!$L$5:$L$36,MATCH(LARGE(优先级矩阵!$J$5:$J$36,1),优先级矩阵!$J$5:$J$36,0)),"")</f>
        <v>全时段慢=打包流程问题（上报）；只高峰慢=给外送单独留打包位</v>
      </c>
    </row>
    <row r="37" customFormat="false" ht="27.75" hidden="false" customHeight="true" outlineLevel="0" collapsed="false">
      <c r="A37" s="16" t="n">
        <v>2</v>
      </c>
      <c r="B37" s="17" t="str">
        <f aca="false">IFERROR(INDEX(优先级矩阵!$B$5:$B$36,MATCH(LARGE(优先级矩阵!$J$5:$J$36,2),优先级矩阵!$J$5:$J$36,0)),"")</f>
        <v>服务速度达标率</v>
      </c>
      <c r="C37" s="20" t="n">
        <f aca="false">IFERROR(INDEX(优先级矩阵!$C$5:$C$36,MATCH(LARGE(优先级矩阵!$J$5:$J$36,2),优先级矩阵!$J$5:$J$36,0)),"")</f>
        <v>0.765984654731458</v>
      </c>
      <c r="D37" s="10" t="str">
        <f aca="false">IFERROR(INDEX(优先级矩阵!$E$5:$E$36,MATCH(LARGE(优先级矩阵!$J$5:$J$36,2),优先级矩阵!$J$5:$J$36,0)),"")</f>
        <v>红</v>
      </c>
      <c r="E37" s="10" t="str">
        <f aca="false">IFERROR(INDEX(优先级矩阵!$H$5:$H$36,MATCH(LARGE(优先级矩阵!$J$5:$J$36,2),优先级矩阵!$J$5:$J$36,0)),"")</f>
        <v>Q1 今天就做</v>
      </c>
      <c r="F37" s="10" t="str">
        <f aca="false">IFERROR(INDEX(优先级矩阵!$I$5:$I$36,MATCH(LARGE(优先级矩阵!$J$5:$J$36,2),优先级矩阵!$J$5:$J$36,0)),"")</f>
        <v>值班经理</v>
      </c>
      <c r="G37" s="10" t="str">
        <f aca="false">IFERROR(INDEX(优先级矩阵!$K$5:$K$36,MATCH(LARGE(优先级矩阵!$J$5:$J$36,2),优先级矩阵!$J$5:$J$36,0)),"")</f>
        <v>PB-04</v>
      </c>
      <c r="H37" s="9" t="n">
        <f aca="false">IFERROR(INDEX(优先级矩阵!$J$5:$J$36,MATCH(LARGE(优先级矩阵!$J$5:$J$36,2),优先级矩阵!$J$5:$J$36,0)),"")</f>
        <v>2.06</v>
      </c>
      <c r="I37" s="19" t="str">
        <f aca="false">IFERROR(INDEX(优先级矩阵!$L$5:$L$36,MATCH(LARGE(优先级矩阵!$J$5:$J$36,2),优先级矩阵!$J$5:$J$36,0)),"")</f>
        <v>先分段定位（点单/排队/取餐窗/制作），再看是结构问题还是产能问题</v>
      </c>
    </row>
    <row r="38" customFormat="false" ht="27.75" hidden="false" customHeight="true" outlineLevel="0" collapsed="false">
      <c r="A38" s="16" t="n">
        <v>3</v>
      </c>
      <c r="B38" s="17" t="str">
        <f aca="false">IFERROR(INDEX(优先级矩阵!$B$5:$B$36,MATCH(LARGE(优先级矩阵!$J$5:$J$36,3),优先级矩阵!$J$5:$J$36,0)),"")</f>
        <v>迟到率</v>
      </c>
      <c r="C38" s="20" t="n">
        <f aca="false">IFERROR(INDEX(优先级矩阵!$C$5:$C$36,MATCH(LARGE(优先级矩阵!$J$5:$J$36,3),优先级矩阵!$J$5:$J$36,0)),"")</f>
        <v>0.105263157894737</v>
      </c>
      <c r="D38" s="10" t="str">
        <f aca="false">IFERROR(INDEX(优先级矩阵!$E$5:$E$36,MATCH(LARGE(优先级矩阵!$J$5:$J$36,3),优先级矩阵!$J$5:$J$36,0)),"")</f>
        <v>红</v>
      </c>
      <c r="E38" s="10" t="str">
        <f aca="false">IFERROR(INDEX(优先级矩阵!$H$5:$H$36,MATCH(LARGE(优先级矩阵!$J$5:$J$36,3),优先级矩阵!$J$5:$J$36,0)),"")</f>
        <v>Q3 顺手做掉</v>
      </c>
      <c r="F38" s="10" t="str">
        <f aca="false">IFERROR(INDEX(优先级矩阵!$I$5:$I$36,MATCH(LARGE(优先级矩阵!$J$5:$J$36,3),优先级矩阵!$J$5:$J$36,0)),"")</f>
        <v>组长</v>
      </c>
      <c r="G38" s="10" t="str">
        <f aca="false">IFERROR(INDEX(优先级矩阵!$K$5:$K$36,MATCH(LARGE(优先级矩阵!$J$5:$J$36,3),优先级矩阵!$J$5:$J$36,0)),"")</f>
        <v>PB-07</v>
      </c>
      <c r="H38" s="9" t="n">
        <f aca="false">IFERROR(INDEX(优先级矩阵!$J$5:$J$36,MATCH(LARGE(优先级矩阵!$J$5:$J$36,3),优先级矩阵!$J$5:$J$36,0)),"")</f>
        <v>1.02</v>
      </c>
      <c r="I38" s="19" t="str">
        <f aca="false">IFERROR(INDEX(优先级矩阵!$L$5:$L$36,MATCH(LARGE(优先级矩阵!$J$5:$J$36,3),优先级矩阵!$J$5:$J$36,0)),"")</f>
        <v>看 SPLH 与速度的组合：都差 = 排班结构错，调岗位不是加人头</v>
      </c>
    </row>
    <row r="40" customFormat="false" ht="25.5" hidden="false" customHeight="true" outlineLevel="0" collapsed="false">
      <c r="A40" s="21" t="s">
        <v>47</v>
      </c>
      <c r="B40" s="21"/>
      <c r="C40" s="21"/>
      <c r="D40" s="21"/>
      <c r="E40" s="21"/>
      <c r="F40" s="21"/>
      <c r="G40" s="21"/>
      <c r="H40" s="21"/>
      <c r="I40" s="21"/>
    </row>
  </sheetData>
  <mergeCells count="6">
    <mergeCell ref="A1:I1"/>
    <mergeCell ref="A2:I2"/>
    <mergeCell ref="E3:I3"/>
    <mergeCell ref="A25:I25"/>
    <mergeCell ref="A34:I34"/>
    <mergeCell ref="A40:I40"/>
  </mergeCells>
  <conditionalFormatting sqref="D6:D23">
    <cfRule type="cellIs" priority="2" operator="equal" aboveAverage="0" equalAverage="0" bottom="0" percent="0" rank="0" text="" dxfId="0">
      <formula>"红"</formula>
    </cfRule>
    <cfRule type="cellIs" priority="3" operator="equal" aboveAverage="0" equalAverage="0" bottom="0" percent="0" rank="0" text="" dxfId="1">
      <formula>"黄"</formula>
    </cfRule>
    <cfRule type="cellIs" priority="4" operator="equal" aboveAverage="0" equalAverage="0" bottom="0" percent="0" rank="0" text="" dxfId="2">
      <formula>"绿"</formula>
    </cfRule>
  </conditionalFormatting>
  <conditionalFormatting sqref="E27:E32">
    <cfRule type="cellIs" priority="5" operator="equal" aboveAverage="0" equalAverage="0" bottom="0" percent="0" rank="0" text="" dxfId="0">
      <formula>"红"</formula>
    </cfRule>
    <cfRule type="cellIs" priority="6" operator="equal" aboveAverage="0" equalAverage="0" bottom="0" percent="0" rank="0" text="" dxfId="1">
      <formula>"黄"</formula>
    </cfRule>
    <cfRule type="cellIs" priority="7" operator="equal" aboveAverage="0" equalAverage="0" bottom="0" percent="0" rank="0" text="" dxfId="2">
      <formula>"绿"</formula>
    </cfRule>
  </conditionalFormatting>
  <conditionalFormatting sqref="D36:D38">
    <cfRule type="cellIs" priority="8" operator="equal" aboveAverage="0" equalAverage="0" bottom="0" percent="0" rank="0" text="" dxfId="0">
      <formula>"红"</formula>
    </cfRule>
    <cfRule type="cellIs" priority="9" operator="equal" aboveAverage="0" equalAverage="0" bottom="0" percent="0" rank="0" text="" dxfId="1">
      <formula>"黄"</formula>
    </cfRule>
    <cfRule type="cellIs" priority="10" operator="equal" aboveAverage="0" equalAverage="0" bottom="0" percent="0" rank="0" text="" dxfId="2">
      <formula>"绿"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03040"/>
    <pageSetUpPr fitToPage="false"/>
  </sheetPr>
  <dimension ref="A1:BG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6"/>
    <col collapsed="false" customWidth="true" hidden="false" outlineLevel="0" max="4" min="3" style="0" width="11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7" min="7" style="0" width="11"/>
    <col collapsed="false" customWidth="true" hidden="false" outlineLevel="0" max="8" min="8" style="0" width="10"/>
    <col collapsed="false" customWidth="true" hidden="false" outlineLevel="0" max="9" min="9" style="0" width="9"/>
    <col collapsed="false" customWidth="true" hidden="false" outlineLevel="0" max="10" min="10" style="0" width="12"/>
    <col collapsed="false" customWidth="true" hidden="false" outlineLevel="0" max="11" min="11" style="0" width="11"/>
    <col collapsed="false" customWidth="true" hidden="false" outlineLevel="0" max="12" min="12" style="0" width="10"/>
    <col collapsed="false" customWidth="true" hidden="false" outlineLevel="0" max="13" min="13" style="0" width="11"/>
    <col collapsed="false" customWidth="true" hidden="false" outlineLevel="0" max="14" min="14" style="0" width="12"/>
    <col collapsed="false" customWidth="true" hidden="false" outlineLevel="0" max="17" min="15" style="0" width="11"/>
    <col collapsed="false" customWidth="true" hidden="false" outlineLevel="0" max="18" min="18" style="0" width="10"/>
    <col collapsed="false" customWidth="true" hidden="false" outlineLevel="0" max="19" min="19" style="0" width="9"/>
    <col collapsed="false" customWidth="true" hidden="false" outlineLevel="0" max="22" min="20" style="0" width="10"/>
    <col collapsed="false" customWidth="true" hidden="false" outlineLevel="0" max="24" min="23" style="0" width="12"/>
    <col collapsed="false" customWidth="true" hidden="false" outlineLevel="0" max="25" min="25" style="0" width="10"/>
    <col collapsed="false" customWidth="true" hidden="false" outlineLevel="0" max="26" min="26" style="0" width="11"/>
    <col collapsed="false" customWidth="true" hidden="false" outlineLevel="0" max="33" min="27" style="0" width="12"/>
    <col collapsed="false" customWidth="true" hidden="false" outlineLevel="0" max="34" min="34" style="0" width="11"/>
    <col collapsed="false" customWidth="true" hidden="false" outlineLevel="0" max="35" min="35" style="0" width="13"/>
    <col collapsed="false" customWidth="true" hidden="false" outlineLevel="0" max="38" min="36" style="0" width="11"/>
    <col collapsed="false" customWidth="true" hidden="false" outlineLevel="0" max="40" min="39" style="0" width="12"/>
    <col collapsed="false" customWidth="true" hidden="false" outlineLevel="0" max="43" min="41" style="0" width="11"/>
    <col collapsed="false" customWidth="true" hidden="false" outlineLevel="0" max="45" min="44" style="0" width="12"/>
    <col collapsed="false" customWidth="true" hidden="false" outlineLevel="0" max="47" min="46" style="0" width="10"/>
    <col collapsed="false" customWidth="true" hidden="false" outlineLevel="0" max="48" min="48" style="0" width="11"/>
    <col collapsed="false" customWidth="true" hidden="false" outlineLevel="0" max="49" min="49" style="0" width="10"/>
    <col collapsed="false" customWidth="true" hidden="false" outlineLevel="0" max="50" min="50" style="0" width="9"/>
    <col collapsed="false" customWidth="true" hidden="false" outlineLevel="0" max="51" min="51" style="0" width="10"/>
    <col collapsed="false" customWidth="true" hidden="false" outlineLevel="0" max="52" min="52" style="0" width="13"/>
    <col collapsed="false" customWidth="true" hidden="false" outlineLevel="0" max="53" min="53" style="0" width="11"/>
    <col collapsed="false" customWidth="true" hidden="false" outlineLevel="0" max="55" min="54" style="0" width="10"/>
    <col collapsed="false" customWidth="true" hidden="false" outlineLevel="0" max="56" min="56" style="0" width="11"/>
    <col collapsed="false" customWidth="true" hidden="false" outlineLevel="0" max="57" min="57" style="0" width="12"/>
    <col collapsed="false" customWidth="true" hidden="false" outlineLevel="0" max="58" min="58" style="0" width="10"/>
    <col collapsed="false" customWidth="true" hidden="false" outlineLevel="0" max="59" min="59" style="0" width="22"/>
  </cols>
  <sheetData>
    <row r="1" customFormat="false" ht="30" hidden="false" customHeight="true" outlineLevel="0" collapsed="false">
      <c r="A1" s="1" t="s">
        <v>48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</row>
    <row r="2" customFormat="false" ht="27.75" hidden="false" customHeight="true" outlineLevel="0" collapsed="false">
      <c r="A2" s="2" t="s">
        <v>49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</row>
    <row r="4" customFormat="false" ht="30" hidden="false" customHeight="true" outlineLevel="0" collapsed="false">
      <c r="A4" s="6" t="s">
        <v>50</v>
      </c>
      <c r="B4" s="6" t="s">
        <v>51</v>
      </c>
      <c r="C4" s="6" t="s">
        <v>52</v>
      </c>
      <c r="D4" s="6" t="s">
        <v>14</v>
      </c>
      <c r="E4" s="6" t="s">
        <v>15</v>
      </c>
      <c r="F4" s="6" t="s">
        <v>16</v>
      </c>
      <c r="G4" s="6" t="s">
        <v>13</v>
      </c>
      <c r="H4" s="6" t="s">
        <v>53</v>
      </c>
      <c r="I4" s="6" t="s">
        <v>54</v>
      </c>
      <c r="J4" s="6" t="s">
        <v>55</v>
      </c>
      <c r="K4" s="6" t="s">
        <v>56</v>
      </c>
      <c r="L4" s="6" t="s">
        <v>57</v>
      </c>
      <c r="M4" s="6" t="s">
        <v>58</v>
      </c>
      <c r="N4" s="6" t="s">
        <v>59</v>
      </c>
      <c r="O4" s="6" t="s">
        <v>60</v>
      </c>
      <c r="P4" s="6" t="s">
        <v>61</v>
      </c>
      <c r="Q4" s="6" t="s">
        <v>17</v>
      </c>
      <c r="R4" s="6" t="s">
        <v>62</v>
      </c>
      <c r="S4" s="6" t="s">
        <v>18</v>
      </c>
      <c r="T4" s="6" t="s">
        <v>63</v>
      </c>
      <c r="U4" s="6" t="s">
        <v>64</v>
      </c>
      <c r="V4" s="6" t="s">
        <v>65</v>
      </c>
      <c r="W4" s="6" t="s">
        <v>66</v>
      </c>
      <c r="X4" s="6" t="s">
        <v>67</v>
      </c>
      <c r="Y4" s="6" t="s">
        <v>68</v>
      </c>
      <c r="Z4" s="6" t="s">
        <v>19</v>
      </c>
      <c r="AA4" s="6" t="s">
        <v>69</v>
      </c>
      <c r="AB4" s="6" t="s">
        <v>70</v>
      </c>
      <c r="AC4" s="6" t="s">
        <v>22</v>
      </c>
      <c r="AD4" s="6" t="s">
        <v>71</v>
      </c>
      <c r="AE4" s="6" t="s">
        <v>72</v>
      </c>
      <c r="AF4" s="6" t="s">
        <v>73</v>
      </c>
      <c r="AG4" s="6" t="s">
        <v>74</v>
      </c>
      <c r="AH4" s="6" t="s">
        <v>75</v>
      </c>
      <c r="AI4" s="6" t="s">
        <v>21</v>
      </c>
      <c r="AJ4" s="6" t="s">
        <v>76</v>
      </c>
      <c r="AK4" s="6" t="s">
        <v>23</v>
      </c>
      <c r="AL4" s="6" t="s">
        <v>77</v>
      </c>
      <c r="AM4" s="6" t="s">
        <v>24</v>
      </c>
      <c r="AN4" s="6" t="s">
        <v>78</v>
      </c>
      <c r="AO4" s="6" t="s">
        <v>79</v>
      </c>
      <c r="AP4" s="6" t="s">
        <v>80</v>
      </c>
      <c r="AQ4" s="6" t="s">
        <v>81</v>
      </c>
      <c r="AR4" s="6" t="s">
        <v>82</v>
      </c>
      <c r="AS4" s="6" t="s">
        <v>83</v>
      </c>
      <c r="AT4" s="6" t="s">
        <v>84</v>
      </c>
      <c r="AU4" s="6" t="s">
        <v>85</v>
      </c>
      <c r="AV4" s="6" t="s">
        <v>27</v>
      </c>
      <c r="AW4" s="6" t="s">
        <v>86</v>
      </c>
      <c r="AX4" s="6" t="s">
        <v>28</v>
      </c>
      <c r="AY4" s="6" t="s">
        <v>87</v>
      </c>
      <c r="AZ4" s="6" t="s">
        <v>88</v>
      </c>
      <c r="BA4" s="15" t="s">
        <v>89</v>
      </c>
      <c r="BB4" s="6" t="s">
        <v>90</v>
      </c>
      <c r="BC4" s="6" t="s">
        <v>91</v>
      </c>
      <c r="BD4" s="6" t="s">
        <v>29</v>
      </c>
      <c r="BE4" s="6" t="s">
        <v>30</v>
      </c>
      <c r="BF4" s="6" t="s">
        <v>92</v>
      </c>
      <c r="BG4" s="6" t="s">
        <v>93</v>
      </c>
    </row>
    <row r="5" customFormat="false" ht="15" hidden="false" customHeight="false" outlineLevel="0" collapsed="false">
      <c r="A5" s="22" t="n">
        <v>46239</v>
      </c>
      <c r="B5" s="23" t="str">
        <f aca="false">TEXT(A5,"aaa")</f>
        <v>Wed</v>
      </c>
      <c r="C5" s="24" t="n">
        <v>61806.75</v>
      </c>
      <c r="D5" s="24" t="n">
        <v>60215.69</v>
      </c>
      <c r="E5" s="24" t="n">
        <v>1661</v>
      </c>
      <c r="F5" s="25" t="n">
        <f aca="false">IFERROR(D5/E5,0)</f>
        <v>36.2526730885009</v>
      </c>
      <c r="G5" s="7" t="n">
        <f aca="false">IFERROR(D5/C5,0)</f>
        <v>0.974257504236997</v>
      </c>
      <c r="H5" s="24" t="n">
        <v>5624</v>
      </c>
      <c r="I5" s="26" t="n">
        <f aca="false">IFERROR(H5/E5,0)</f>
        <v>3.38591210114389</v>
      </c>
      <c r="J5" s="27" t="n">
        <v>0.640577965081276</v>
      </c>
      <c r="K5" s="24" t="n">
        <v>16257.27</v>
      </c>
      <c r="L5" s="7" t="n">
        <f aca="false">IFERROR(K5/D5,0)</f>
        <v>0.269983952687414</v>
      </c>
      <c r="M5" s="24" t="n">
        <v>597</v>
      </c>
      <c r="N5" s="24" t="n">
        <v>143</v>
      </c>
      <c r="O5" s="7" t="n">
        <f aca="false">IFERROR(N5/M5,0)</f>
        <v>0.239530988274707</v>
      </c>
      <c r="P5" s="24" t="n">
        <v>18573.69</v>
      </c>
      <c r="Q5" s="7" t="n">
        <f aca="false">IFERROR(P5/D5,0)</f>
        <v>0.308452664081405</v>
      </c>
      <c r="R5" s="24" t="n">
        <v>646.87</v>
      </c>
      <c r="S5" s="28" t="n">
        <f aca="false">IFERROR(R5/D5,0)</f>
        <v>0.01074254899346</v>
      </c>
      <c r="T5" s="29" t="n">
        <v>271.72</v>
      </c>
      <c r="U5" s="29" t="n">
        <v>282.5</v>
      </c>
      <c r="V5" s="30" t="n">
        <v>28.5</v>
      </c>
      <c r="W5" s="29" t="n">
        <v>248.5</v>
      </c>
      <c r="X5" s="29" t="n">
        <v>237.7225</v>
      </c>
      <c r="Y5" s="11" t="n">
        <f aca="false">T5*V5</f>
        <v>7744.02</v>
      </c>
      <c r="Z5" s="7" t="n">
        <f aca="false">IFERROR(Y5/D5,0)</f>
        <v>0.128604687582256</v>
      </c>
      <c r="AA5" s="11" t="n">
        <f aca="false">IFERROR(D5/T5,0)</f>
        <v>221.609340497571</v>
      </c>
      <c r="AB5" s="7" t="n">
        <f aca="false">IFERROR(ABS(X5-W5)/W5,0)</f>
        <v>0.0433702213279678</v>
      </c>
      <c r="AC5" s="24" t="n">
        <v>156.87</v>
      </c>
      <c r="AD5" s="24" t="n">
        <v>58.06</v>
      </c>
      <c r="AE5" s="24" t="n">
        <v>86.39</v>
      </c>
      <c r="AF5" s="24" t="n">
        <v>128.96</v>
      </c>
      <c r="AG5" s="24" t="n">
        <v>418.23</v>
      </c>
      <c r="AH5" s="24" t="n">
        <v>1259</v>
      </c>
      <c r="AI5" s="7" t="n">
        <f aca="false">IFERROR(AH5/E5,0)</f>
        <v>0.757977122215533</v>
      </c>
      <c r="AJ5" s="24" t="n">
        <v>4</v>
      </c>
      <c r="AK5" s="28" t="n">
        <f aca="false">IFERROR(1-AJ5/E5,0)</f>
        <v>0.997591812161349</v>
      </c>
      <c r="AL5" s="26" t="n">
        <f aca="false">IFERROR(AJ5/E5*1000,0)</f>
        <v>2.40818783865142</v>
      </c>
      <c r="AM5" s="29" t="n">
        <v>99.333</v>
      </c>
      <c r="AN5" s="24" t="n">
        <v>0</v>
      </c>
      <c r="AO5" s="24" t="n">
        <v>2160</v>
      </c>
      <c r="AP5" s="24" t="n">
        <v>64</v>
      </c>
      <c r="AQ5" s="7" t="n">
        <f aca="false">IFERROR(AP5/AO5,0)</f>
        <v>0.0296296296296296</v>
      </c>
      <c r="AR5" s="29" t="n">
        <v>91.4</v>
      </c>
      <c r="AS5" s="24" t="n">
        <v>0</v>
      </c>
      <c r="AT5" s="24" t="n">
        <v>40</v>
      </c>
      <c r="AU5" s="24" t="n">
        <v>40</v>
      </c>
      <c r="AV5" s="7" t="n">
        <f aca="false">IFERROR(AU5/AT5,0)</f>
        <v>1</v>
      </c>
      <c r="AW5" s="24" t="n">
        <v>3</v>
      </c>
      <c r="AX5" s="7" t="n">
        <f aca="false">IFERROR(AW5/AU5,0)</f>
        <v>0.075</v>
      </c>
      <c r="AY5" s="24" t="n">
        <v>34</v>
      </c>
      <c r="AZ5" s="7" t="n">
        <f aca="false">IFERROR(AY5/AT5,0)</f>
        <v>0.85</v>
      </c>
      <c r="BA5" s="27" t="n">
        <v>0.107692307692308</v>
      </c>
      <c r="BB5" s="24" t="n">
        <v>133</v>
      </c>
      <c r="BC5" s="24" t="n">
        <v>30</v>
      </c>
      <c r="BD5" s="12" t="n">
        <f aca="false">IFERROR(BB5/BC5*20,0)</f>
        <v>88.6666666666667</v>
      </c>
      <c r="BE5" s="31" t="n">
        <v>4.1332</v>
      </c>
      <c r="BF5" s="30" t="n">
        <v>37.25</v>
      </c>
      <c r="BG5" s="32"/>
    </row>
    <row r="6" customFormat="false" ht="15" hidden="false" customHeight="false" outlineLevel="0" collapsed="false">
      <c r="A6" s="22" t="n">
        <v>46240</v>
      </c>
      <c r="B6" s="23" t="str">
        <f aca="false">TEXT(A6,"aaa")</f>
        <v>Thu</v>
      </c>
      <c r="C6" s="24" t="n">
        <v>57823.97</v>
      </c>
      <c r="D6" s="24" t="n">
        <v>55843.81</v>
      </c>
      <c r="E6" s="24" t="n">
        <v>1565</v>
      </c>
      <c r="F6" s="25" t="n">
        <f aca="false">IFERROR(D6/E6,0)</f>
        <v>35.682945686901</v>
      </c>
      <c r="G6" s="7" t="n">
        <f aca="false">IFERROR(D6/C6,0)</f>
        <v>0.965755377916805</v>
      </c>
      <c r="H6" s="24" t="n">
        <v>5232</v>
      </c>
      <c r="I6" s="26" t="n">
        <f aca="false">IFERROR(H6/E6,0)</f>
        <v>3.34313099041534</v>
      </c>
      <c r="J6" s="27" t="n">
        <v>0.63258785942492</v>
      </c>
      <c r="K6" s="24" t="n">
        <v>14190.62</v>
      </c>
      <c r="L6" s="7" t="n">
        <f aca="false">IFERROR(K6/D6,0)</f>
        <v>0.254112676051294</v>
      </c>
      <c r="M6" s="24" t="n">
        <v>575</v>
      </c>
      <c r="N6" s="24" t="n">
        <v>126</v>
      </c>
      <c r="O6" s="7" t="n">
        <f aca="false">IFERROR(N6/M6,0)</f>
        <v>0.219130434782609</v>
      </c>
      <c r="P6" s="24" t="n">
        <v>17096.37</v>
      </c>
      <c r="Q6" s="7" t="n">
        <f aca="false">IFERROR(P6/D6,0)</f>
        <v>0.306146195970511</v>
      </c>
      <c r="R6" s="24" t="n">
        <v>628.62</v>
      </c>
      <c r="S6" s="28" t="n">
        <f aca="false">IFERROR(R6/D6,0)</f>
        <v>0.011256753434266</v>
      </c>
      <c r="T6" s="29" t="n">
        <v>260.44</v>
      </c>
      <c r="U6" s="29" t="n">
        <v>272.55</v>
      </c>
      <c r="V6" s="30" t="n">
        <v>28.5</v>
      </c>
      <c r="W6" s="29" t="n">
        <v>238.55</v>
      </c>
      <c r="X6" s="29" t="n">
        <v>226.4375</v>
      </c>
      <c r="Y6" s="11" t="n">
        <f aca="false">T6*V6</f>
        <v>7422.54</v>
      </c>
      <c r="Z6" s="7" t="n">
        <f aca="false">IFERROR(Y6/D6,0)</f>
        <v>0.13291607431513</v>
      </c>
      <c r="AA6" s="11" t="n">
        <f aca="false">IFERROR(D6/T6,0)</f>
        <v>214.421018276762</v>
      </c>
      <c r="AB6" s="7" t="n">
        <f aca="false">IFERROR(ABS(X6-W6)/W6,0)</f>
        <v>0.05077551875917</v>
      </c>
      <c r="AC6" s="24" t="n">
        <v>155.6</v>
      </c>
      <c r="AD6" s="24" t="n">
        <v>58.33</v>
      </c>
      <c r="AE6" s="24" t="n">
        <v>86.49</v>
      </c>
      <c r="AF6" s="24" t="n">
        <v>128.76</v>
      </c>
      <c r="AG6" s="24" t="n">
        <v>415.58</v>
      </c>
      <c r="AH6" s="24" t="n">
        <v>1225</v>
      </c>
      <c r="AI6" s="7" t="n">
        <f aca="false">IFERROR(AH6/E6,0)</f>
        <v>0.782747603833866</v>
      </c>
      <c r="AJ6" s="24" t="n">
        <v>3</v>
      </c>
      <c r="AK6" s="28" t="n">
        <f aca="false">IFERROR(1-AJ6/E6,0)</f>
        <v>0.998083067092652</v>
      </c>
      <c r="AL6" s="26" t="n">
        <f aca="false">IFERROR(AJ6/E6*1000,0)</f>
        <v>1.91693290734824</v>
      </c>
      <c r="AM6" s="29" t="n">
        <v>98</v>
      </c>
      <c r="AN6" s="24" t="n">
        <v>0</v>
      </c>
      <c r="AO6" s="24" t="n">
        <v>1995</v>
      </c>
      <c r="AP6" s="24" t="n">
        <v>46</v>
      </c>
      <c r="AQ6" s="7" t="n">
        <f aca="false">IFERROR(AP6/AO6,0)</f>
        <v>0.0230576441102757</v>
      </c>
      <c r="AR6" s="29" t="n">
        <v>91.667</v>
      </c>
      <c r="AS6" s="24" t="n">
        <v>38</v>
      </c>
      <c r="AT6" s="24" t="n">
        <v>38</v>
      </c>
      <c r="AU6" s="24" t="n">
        <v>34</v>
      </c>
      <c r="AV6" s="7" t="n">
        <f aca="false">IFERROR(AU6/AT6,0)</f>
        <v>0.894736842105263</v>
      </c>
      <c r="AW6" s="24" t="n">
        <v>5</v>
      </c>
      <c r="AX6" s="7" t="n">
        <f aca="false">IFERROR(AW6/AU6,0)</f>
        <v>0.147058823529412</v>
      </c>
      <c r="AY6" s="24" t="n">
        <v>37</v>
      </c>
      <c r="AZ6" s="7" t="n">
        <f aca="false">IFERROR(AY6/AT6,0)</f>
        <v>0.973684210526316</v>
      </c>
      <c r="BA6" s="27" t="n">
        <v>0.107692307692308</v>
      </c>
      <c r="BB6" s="24" t="n">
        <v>154</v>
      </c>
      <c r="BC6" s="24" t="n">
        <v>35</v>
      </c>
      <c r="BD6" s="12" t="n">
        <f aca="false">IFERROR(BB6/BC6*20,0)</f>
        <v>88</v>
      </c>
      <c r="BE6" s="31" t="n">
        <v>4.0907</v>
      </c>
      <c r="BF6" s="30" t="n">
        <v>34.76</v>
      </c>
      <c r="BG6" s="32"/>
    </row>
    <row r="7" customFormat="false" ht="15" hidden="false" customHeight="false" outlineLevel="0" collapsed="false">
      <c r="A7" s="22" t="n">
        <v>46241</v>
      </c>
      <c r="B7" s="23" t="str">
        <f aca="false">TEXT(A7,"aaa")</f>
        <v>Fri</v>
      </c>
      <c r="C7" s="24" t="n">
        <v>75744.98</v>
      </c>
      <c r="D7" s="24" t="n">
        <v>74500.09</v>
      </c>
      <c r="E7" s="24" t="n">
        <v>2067</v>
      </c>
      <c r="F7" s="25" t="n">
        <f aca="false">IFERROR(D7/E7,0)</f>
        <v>36.0426173197871</v>
      </c>
      <c r="G7" s="7" t="n">
        <f aca="false">IFERROR(D7/C7,0)</f>
        <v>0.983564719404507</v>
      </c>
      <c r="H7" s="24" t="n">
        <v>6949</v>
      </c>
      <c r="I7" s="26" t="n">
        <f aca="false">IFERROR(H7/E7,0)</f>
        <v>3.3618771165941</v>
      </c>
      <c r="J7" s="27" t="n">
        <v>0.638122883405902</v>
      </c>
      <c r="K7" s="24" t="n">
        <v>20532.42</v>
      </c>
      <c r="L7" s="7" t="n">
        <f aca="false">IFERROR(K7/D7,0)</f>
        <v>0.275602620077372</v>
      </c>
      <c r="M7" s="24" t="n">
        <v>748</v>
      </c>
      <c r="N7" s="24" t="n">
        <v>163</v>
      </c>
      <c r="O7" s="7" t="n">
        <f aca="false">IFERROR(N7/M7,0)</f>
        <v>0.217914438502674</v>
      </c>
      <c r="P7" s="24" t="n">
        <v>22878.77</v>
      </c>
      <c r="Q7" s="7" t="n">
        <f aca="false">IFERROR(P7/D7,0)</f>
        <v>0.307097212902696</v>
      </c>
      <c r="R7" s="24" t="n">
        <v>797.43</v>
      </c>
      <c r="S7" s="28" t="n">
        <f aca="false">IFERROR(R7/D7,0)</f>
        <v>0.0107037454585625</v>
      </c>
      <c r="T7" s="29" t="n">
        <v>313.86</v>
      </c>
      <c r="U7" s="29" t="n">
        <v>324.85</v>
      </c>
      <c r="V7" s="30" t="n">
        <v>28.5</v>
      </c>
      <c r="W7" s="29" t="n">
        <v>290.85</v>
      </c>
      <c r="X7" s="29" t="n">
        <v>279.865</v>
      </c>
      <c r="Y7" s="11" t="n">
        <f aca="false">T7*V7</f>
        <v>8945.01</v>
      </c>
      <c r="Z7" s="7" t="n">
        <f aca="false">IFERROR(Y7/D7,0)</f>
        <v>0.12006710327464</v>
      </c>
      <c r="AA7" s="11" t="n">
        <f aca="false">IFERROR(D7/T7,0)</f>
        <v>237.367265659848</v>
      </c>
      <c r="AB7" s="7" t="n">
        <f aca="false">IFERROR(ABS(X7-W7)/W7,0)</f>
        <v>0.0377686092487537</v>
      </c>
      <c r="AC7" s="24" t="n">
        <v>157.68</v>
      </c>
      <c r="AD7" s="24" t="n">
        <v>58.66</v>
      </c>
      <c r="AE7" s="24" t="n">
        <v>88.07</v>
      </c>
      <c r="AF7" s="24" t="n">
        <v>132.14</v>
      </c>
      <c r="AG7" s="24" t="n">
        <v>425.23</v>
      </c>
      <c r="AH7" s="24" t="n">
        <v>1492</v>
      </c>
      <c r="AI7" s="7" t="n">
        <f aca="false">IFERROR(AH7/E7,0)</f>
        <v>0.721819061441703</v>
      </c>
      <c r="AJ7" s="24" t="n">
        <v>2</v>
      </c>
      <c r="AK7" s="28" t="n">
        <f aca="false">IFERROR(1-AJ7/E7,0)</f>
        <v>0.999032414126754</v>
      </c>
      <c r="AL7" s="26" t="n">
        <f aca="false">IFERROR(AJ7/E7*1000,0)</f>
        <v>0.967585873246251</v>
      </c>
      <c r="AM7" s="29" t="n">
        <v>99.333</v>
      </c>
      <c r="AN7" s="24" t="n">
        <v>0</v>
      </c>
      <c r="AO7" s="24" t="n">
        <v>2767</v>
      </c>
      <c r="AP7" s="24" t="n">
        <v>73</v>
      </c>
      <c r="AQ7" s="7" t="n">
        <f aca="false">IFERROR(AP7/AO7,0)</f>
        <v>0.0263823635706541</v>
      </c>
      <c r="AR7" s="29" t="n">
        <v>91.533</v>
      </c>
      <c r="AS7" s="24" t="n">
        <v>0</v>
      </c>
      <c r="AT7" s="24" t="n">
        <v>47</v>
      </c>
      <c r="AU7" s="24" t="n">
        <v>46</v>
      </c>
      <c r="AV7" s="7" t="n">
        <f aca="false">IFERROR(AU7/AT7,0)</f>
        <v>0.978723404255319</v>
      </c>
      <c r="AW7" s="24" t="n">
        <v>5</v>
      </c>
      <c r="AX7" s="7" t="n">
        <f aca="false">IFERROR(AW7/AU7,0)</f>
        <v>0.108695652173913</v>
      </c>
      <c r="AY7" s="24" t="n">
        <v>43</v>
      </c>
      <c r="AZ7" s="7" t="n">
        <f aca="false">IFERROR(AY7/AT7,0)</f>
        <v>0.914893617021277</v>
      </c>
      <c r="BA7" s="27" t="n">
        <v>0.0923076923076923</v>
      </c>
      <c r="BB7" s="24" t="n">
        <v>230</v>
      </c>
      <c r="BC7" s="24" t="n">
        <v>51</v>
      </c>
      <c r="BD7" s="12" t="n">
        <f aca="false">IFERROR(BB7/BC7*20,0)</f>
        <v>90.1960784313725</v>
      </c>
      <c r="BE7" s="31" t="n">
        <v>4.0245</v>
      </c>
      <c r="BF7" s="30" t="n">
        <v>40.77</v>
      </c>
      <c r="BG7" s="32"/>
    </row>
    <row r="8" customFormat="false" ht="15" hidden="false" customHeight="false" outlineLevel="0" collapsed="false">
      <c r="A8" s="22" t="n">
        <v>46242</v>
      </c>
      <c r="B8" s="23" t="str">
        <f aca="false">TEXT(A8,"aaa")</f>
        <v>Sat</v>
      </c>
      <c r="C8" s="24" t="n">
        <v>82007.96</v>
      </c>
      <c r="D8" s="24" t="n">
        <v>80843.72</v>
      </c>
      <c r="E8" s="24" t="n">
        <v>2248</v>
      </c>
      <c r="F8" s="25" t="n">
        <f aca="false">IFERROR(D8/E8,0)</f>
        <v>35.9625088967972</v>
      </c>
      <c r="G8" s="7" t="n">
        <f aca="false">IFERROR(D8/C8,0)</f>
        <v>0.985803329335347</v>
      </c>
      <c r="H8" s="24" t="n">
        <v>7533</v>
      </c>
      <c r="I8" s="26" t="n">
        <f aca="false">IFERROR(H8/E8,0)</f>
        <v>3.35097864768683</v>
      </c>
      <c r="J8" s="27" t="n">
        <v>0.637455516014235</v>
      </c>
      <c r="K8" s="24" t="n">
        <v>21337.65</v>
      </c>
      <c r="L8" s="7" t="n">
        <f aca="false">IFERROR(K8/D8,0)</f>
        <v>0.263937013289344</v>
      </c>
      <c r="M8" s="24" t="n">
        <v>815</v>
      </c>
      <c r="N8" s="24" t="n">
        <v>193</v>
      </c>
      <c r="O8" s="7" t="n">
        <f aca="false">IFERROR(N8/M8,0)</f>
        <v>0.23680981595092</v>
      </c>
      <c r="P8" s="24" t="n">
        <v>25050.68</v>
      </c>
      <c r="Q8" s="7" t="n">
        <f aca="false">IFERROR(P8/D8,0)</f>
        <v>0.309865503467678</v>
      </c>
      <c r="R8" s="24" t="n">
        <v>934.38</v>
      </c>
      <c r="S8" s="28" t="n">
        <f aca="false">IFERROR(R8/D8,0)</f>
        <v>0.0115578550813842</v>
      </c>
      <c r="T8" s="29" t="n">
        <v>331.65</v>
      </c>
      <c r="U8" s="29" t="n">
        <v>343.73</v>
      </c>
      <c r="V8" s="30" t="n">
        <v>28.5</v>
      </c>
      <c r="W8" s="29" t="n">
        <v>309.725</v>
      </c>
      <c r="X8" s="29" t="n">
        <v>297.645</v>
      </c>
      <c r="Y8" s="11" t="n">
        <f aca="false">T8*V8</f>
        <v>9452.025</v>
      </c>
      <c r="Z8" s="7" t="n">
        <f aca="false">IFERROR(Y8/D8,0)</f>
        <v>0.116917244777949</v>
      </c>
      <c r="AA8" s="11" t="n">
        <f aca="false">IFERROR(D8/T8,0)</f>
        <v>243.762158902457</v>
      </c>
      <c r="AB8" s="7" t="n">
        <f aca="false">IFERROR(ABS(X8-W8)/W8,0)</f>
        <v>0.0390023407861814</v>
      </c>
      <c r="AC8" s="24" t="n">
        <v>159.75</v>
      </c>
      <c r="AD8" s="24" t="n">
        <v>58.56</v>
      </c>
      <c r="AE8" s="24" t="n">
        <v>88.06</v>
      </c>
      <c r="AF8" s="24" t="n">
        <v>132.97</v>
      </c>
      <c r="AG8" s="24" t="n">
        <v>434.63</v>
      </c>
      <c r="AH8" s="24" t="n">
        <v>1618</v>
      </c>
      <c r="AI8" s="7" t="n">
        <f aca="false">IFERROR(AH8/E8,0)</f>
        <v>0.719750889679715</v>
      </c>
      <c r="AJ8" s="24" t="n">
        <v>5</v>
      </c>
      <c r="AK8" s="28" t="n">
        <f aca="false">IFERROR(1-AJ8/E8,0)</f>
        <v>0.997775800711744</v>
      </c>
      <c r="AL8" s="26" t="n">
        <f aca="false">IFERROR(AJ8/E8*1000,0)</f>
        <v>2.22419928825623</v>
      </c>
      <c r="AM8" s="29" t="n">
        <v>98.667</v>
      </c>
      <c r="AN8" s="24" t="n">
        <v>4</v>
      </c>
      <c r="AO8" s="24" t="n">
        <v>3033</v>
      </c>
      <c r="AP8" s="24" t="n">
        <v>70</v>
      </c>
      <c r="AQ8" s="7" t="n">
        <f aca="false">IFERROR(AP8/AO8,0)</f>
        <v>0.0230794592812397</v>
      </c>
      <c r="AR8" s="29" t="n">
        <v>93.667</v>
      </c>
      <c r="AS8" s="24" t="n">
        <v>0</v>
      </c>
      <c r="AT8" s="24" t="n">
        <v>50</v>
      </c>
      <c r="AU8" s="24" t="n">
        <v>47</v>
      </c>
      <c r="AV8" s="7" t="n">
        <f aca="false">IFERROR(AU8/AT8,0)</f>
        <v>0.94</v>
      </c>
      <c r="AW8" s="24" t="n">
        <v>2</v>
      </c>
      <c r="AX8" s="7" t="n">
        <f aca="false">IFERROR(AW8/AU8,0)</f>
        <v>0.0425531914893617</v>
      </c>
      <c r="AY8" s="24" t="n">
        <v>43</v>
      </c>
      <c r="AZ8" s="7" t="n">
        <f aca="false">IFERROR(AY8/AT8,0)</f>
        <v>0.86</v>
      </c>
      <c r="BA8" s="27" t="n">
        <v>0.078125</v>
      </c>
      <c r="BB8" s="24" t="n">
        <v>188</v>
      </c>
      <c r="BC8" s="24" t="n">
        <v>41</v>
      </c>
      <c r="BD8" s="12" t="n">
        <f aca="false">IFERROR(BB8/BC8*20,0)</f>
        <v>91.7073170731707</v>
      </c>
      <c r="BE8" s="31" t="n">
        <v>4.0281</v>
      </c>
      <c r="BF8" s="30" t="n">
        <v>65.49</v>
      </c>
      <c r="BG8" s="32"/>
    </row>
    <row r="9" customFormat="false" ht="15" hidden="false" customHeight="false" outlineLevel="0" collapsed="false">
      <c r="A9" s="22" t="n">
        <v>46243</v>
      </c>
      <c r="B9" s="23" t="str">
        <f aca="false">TEXT(A9,"aaa")</f>
        <v>Sun</v>
      </c>
      <c r="C9" s="24" t="n">
        <v>72603.35</v>
      </c>
      <c r="D9" s="24" t="n">
        <v>71838.61</v>
      </c>
      <c r="E9" s="24" t="n">
        <v>1996</v>
      </c>
      <c r="F9" s="25" t="n">
        <f aca="false">IFERROR(D9/E9,0)</f>
        <v>35.9912875751503</v>
      </c>
      <c r="G9" s="7" t="n">
        <f aca="false">IFERROR(D9/C9,0)</f>
        <v>0.989466877217098</v>
      </c>
      <c r="H9" s="24" t="n">
        <v>6719</v>
      </c>
      <c r="I9" s="26" t="n">
        <f aca="false">IFERROR(H9/E9,0)</f>
        <v>3.36623246492986</v>
      </c>
      <c r="J9" s="27" t="n">
        <v>0.646793587174349</v>
      </c>
      <c r="K9" s="24" t="n">
        <v>18940.76</v>
      </c>
      <c r="L9" s="7" t="n">
        <f aca="false">IFERROR(K9/D9,0)</f>
        <v>0.263657105837655</v>
      </c>
      <c r="M9" s="24" t="n">
        <v>705</v>
      </c>
      <c r="N9" s="24" t="n">
        <v>155</v>
      </c>
      <c r="O9" s="7" t="n">
        <f aca="false">IFERROR(N9/M9,0)</f>
        <v>0.219858156028369</v>
      </c>
      <c r="P9" s="24" t="n">
        <v>22072.55</v>
      </c>
      <c r="Q9" s="7" t="n">
        <f aca="false">IFERROR(P9/D9,0)</f>
        <v>0.307251908131296</v>
      </c>
      <c r="R9" s="24" t="n">
        <v>900.9</v>
      </c>
      <c r="S9" s="28" t="n">
        <f aca="false">IFERROR(R9/D9,0)</f>
        <v>0.0125406101259476</v>
      </c>
      <c r="T9" s="29" t="n">
        <v>305.96</v>
      </c>
      <c r="U9" s="29" t="n">
        <v>317.52</v>
      </c>
      <c r="V9" s="30" t="n">
        <v>28.5</v>
      </c>
      <c r="W9" s="29" t="n">
        <v>283.525</v>
      </c>
      <c r="X9" s="29" t="n">
        <v>271.955</v>
      </c>
      <c r="Y9" s="11" t="n">
        <f aca="false">T9*V9</f>
        <v>8719.86</v>
      </c>
      <c r="Z9" s="7" t="n">
        <f aca="false">IFERROR(Y9/D9,0)</f>
        <v>0.121381246101504</v>
      </c>
      <c r="AA9" s="11" t="n">
        <f aca="false">IFERROR(D9/T9,0)</f>
        <v>234.797391815924</v>
      </c>
      <c r="AB9" s="7" t="n">
        <f aca="false">IFERROR(ABS(X9-W9)/W9,0)</f>
        <v>0.0408076889163213</v>
      </c>
      <c r="AC9" s="24" t="n">
        <v>158.57</v>
      </c>
      <c r="AD9" s="24" t="n">
        <v>59.07</v>
      </c>
      <c r="AE9" s="24" t="n">
        <v>87.92</v>
      </c>
      <c r="AF9" s="24" t="n">
        <v>131.59</v>
      </c>
      <c r="AG9" s="24" t="n">
        <v>430.21</v>
      </c>
      <c r="AH9" s="24" t="n">
        <v>1482</v>
      </c>
      <c r="AI9" s="7" t="n">
        <f aca="false">IFERROR(AH9/E9,0)</f>
        <v>0.74248496993988</v>
      </c>
      <c r="AJ9" s="24" t="n">
        <v>1</v>
      </c>
      <c r="AK9" s="28" t="n">
        <f aca="false">IFERROR(1-AJ9/E9,0)</f>
        <v>0.999498997995992</v>
      </c>
      <c r="AL9" s="26" t="n">
        <f aca="false">IFERROR(AJ9/E9*1000,0)</f>
        <v>0.501002004008016</v>
      </c>
      <c r="AM9" s="29" t="n">
        <v>99.333</v>
      </c>
      <c r="AN9" s="24" t="n">
        <v>0</v>
      </c>
      <c r="AO9" s="24" t="n">
        <v>2530</v>
      </c>
      <c r="AP9" s="24" t="n">
        <v>59</v>
      </c>
      <c r="AQ9" s="7" t="n">
        <f aca="false">IFERROR(AP9/AO9,0)</f>
        <v>0.0233201581027668</v>
      </c>
      <c r="AR9" s="29" t="n">
        <v>92.267</v>
      </c>
      <c r="AS9" s="24" t="n">
        <v>0</v>
      </c>
      <c r="AT9" s="24" t="n">
        <v>45</v>
      </c>
      <c r="AU9" s="24" t="n">
        <v>42</v>
      </c>
      <c r="AV9" s="7" t="n">
        <f aca="false">IFERROR(AU9/AT9,0)</f>
        <v>0.933333333333333</v>
      </c>
      <c r="AW9" s="24" t="n">
        <v>5</v>
      </c>
      <c r="AX9" s="7" t="n">
        <f aca="false">IFERROR(AW9/AU9,0)</f>
        <v>0.119047619047619</v>
      </c>
      <c r="AY9" s="24" t="n">
        <v>40</v>
      </c>
      <c r="AZ9" s="7" t="n">
        <f aca="false">IFERROR(AY9/AT9,0)</f>
        <v>0.888888888888889</v>
      </c>
      <c r="BA9" s="27" t="n">
        <v>0.09375</v>
      </c>
      <c r="BB9" s="24" t="n">
        <v>187</v>
      </c>
      <c r="BC9" s="24" t="n">
        <v>42</v>
      </c>
      <c r="BD9" s="12" t="n">
        <f aca="false">IFERROR(BB9/BC9*20,0)</f>
        <v>89.0476190476191</v>
      </c>
      <c r="BE9" s="31" t="n">
        <v>4.0526</v>
      </c>
      <c r="BF9" s="30" t="n">
        <v>10.98</v>
      </c>
      <c r="BG9" s="32"/>
    </row>
    <row r="10" customFormat="false" ht="15" hidden="false" customHeight="false" outlineLevel="0" collapsed="false">
      <c r="A10" s="22" t="n">
        <v>46244</v>
      </c>
      <c r="B10" s="23" t="str">
        <f aca="false">TEXT(A10,"aaa")</f>
        <v>Mon</v>
      </c>
      <c r="C10" s="24" t="n">
        <v>56778.37</v>
      </c>
      <c r="D10" s="24" t="n">
        <v>56477.72</v>
      </c>
      <c r="E10" s="24" t="n">
        <v>1564</v>
      </c>
      <c r="F10" s="25" t="n">
        <f aca="false">IFERROR(D10/E10,0)</f>
        <v>36.111074168798</v>
      </c>
      <c r="G10" s="7" t="n">
        <f aca="false">IFERROR(D10/C10,0)</f>
        <v>0.994704849751763</v>
      </c>
      <c r="H10" s="24" t="n">
        <v>5249</v>
      </c>
      <c r="I10" s="26" t="n">
        <f aca="false">IFERROR(H10/E10,0)</f>
        <v>3.35613810741688</v>
      </c>
      <c r="J10" s="27" t="n">
        <v>0.646419437340154</v>
      </c>
      <c r="K10" s="24" t="n">
        <v>15189.73</v>
      </c>
      <c r="L10" s="7" t="n">
        <f aca="false">IFERROR(K10/D10,0)</f>
        <v>0.268950835834024</v>
      </c>
      <c r="M10" s="24" t="n">
        <v>553</v>
      </c>
      <c r="N10" s="24" t="n">
        <v>144</v>
      </c>
      <c r="O10" s="7" t="n">
        <f aca="false">IFERROR(N10/M10,0)</f>
        <v>0.260397830018083</v>
      </c>
      <c r="P10" s="24" t="n">
        <v>17592.76</v>
      </c>
      <c r="Q10" s="7" t="n">
        <f aca="false">IFERROR(P10/D10,0)</f>
        <v>0.311499118590481</v>
      </c>
      <c r="R10" s="24" t="n">
        <v>635.11</v>
      </c>
      <c r="S10" s="28" t="n">
        <f aca="false">IFERROR(R10/D10,0)</f>
        <v>0.011245319393205</v>
      </c>
      <c r="T10" s="29" t="n">
        <v>261.91</v>
      </c>
      <c r="U10" s="29" t="n">
        <v>272.45</v>
      </c>
      <c r="V10" s="30" t="n">
        <v>28.5</v>
      </c>
      <c r="W10" s="29" t="n">
        <v>238.45</v>
      </c>
      <c r="X10" s="29" t="n">
        <v>227.9125</v>
      </c>
      <c r="Y10" s="11" t="n">
        <f aca="false">T10*V10</f>
        <v>7464.435</v>
      </c>
      <c r="Z10" s="7" t="n">
        <f aca="false">IFERROR(Y10/D10,0)</f>
        <v>0.132166011659111</v>
      </c>
      <c r="AA10" s="11" t="n">
        <f aca="false">IFERROR(D10/T10,0)</f>
        <v>215.637890878546</v>
      </c>
      <c r="AB10" s="7" t="n">
        <f aca="false">IFERROR(ABS(X10-W10)/W10,0)</f>
        <v>0.044191654434892</v>
      </c>
      <c r="AC10" s="24" t="n">
        <v>152.63</v>
      </c>
      <c r="AD10" s="24" t="n">
        <v>56.02</v>
      </c>
      <c r="AE10" s="24" t="n">
        <v>85.39</v>
      </c>
      <c r="AF10" s="24" t="n">
        <v>126.8</v>
      </c>
      <c r="AG10" s="24" t="n">
        <v>419.83</v>
      </c>
      <c r="AH10" s="24" t="n">
        <v>1235</v>
      </c>
      <c r="AI10" s="7" t="n">
        <f aca="false">IFERROR(AH10/E10,0)</f>
        <v>0.789641943734015</v>
      </c>
      <c r="AJ10" s="24" t="n">
        <v>0</v>
      </c>
      <c r="AK10" s="28" t="n">
        <f aca="false">IFERROR(1-AJ10/E10,0)</f>
        <v>1</v>
      </c>
      <c r="AL10" s="26" t="n">
        <f aca="false">IFERROR(AJ10/E10*1000,0)</f>
        <v>0</v>
      </c>
      <c r="AM10" s="29" t="n">
        <v>99.333</v>
      </c>
      <c r="AN10" s="24" t="n">
        <v>0</v>
      </c>
      <c r="AO10" s="24" t="n">
        <v>2049</v>
      </c>
      <c r="AP10" s="24" t="n">
        <v>41</v>
      </c>
      <c r="AQ10" s="7" t="n">
        <f aca="false">IFERROR(AP10/AO10,0)</f>
        <v>0.0200097608589556</v>
      </c>
      <c r="AR10" s="29" t="n">
        <v>88.667</v>
      </c>
      <c r="AS10" s="24" t="n">
        <v>0</v>
      </c>
      <c r="AT10" s="24" t="n">
        <v>38</v>
      </c>
      <c r="AU10" s="24" t="n">
        <v>35</v>
      </c>
      <c r="AV10" s="7" t="n">
        <f aca="false">IFERROR(AU10/AT10,0)</f>
        <v>0.921052631578947</v>
      </c>
      <c r="AW10" s="24" t="n">
        <v>2</v>
      </c>
      <c r="AX10" s="7" t="n">
        <f aca="false">IFERROR(AW10/AU10,0)</f>
        <v>0.0571428571428571</v>
      </c>
      <c r="AY10" s="24" t="n">
        <v>30</v>
      </c>
      <c r="AZ10" s="7" t="n">
        <f aca="false">IFERROR(AY10/AT10,0)</f>
        <v>0.789473684210526</v>
      </c>
      <c r="BA10" s="27" t="n">
        <v>0.0634920634920635</v>
      </c>
      <c r="BB10" s="24" t="n">
        <v>110</v>
      </c>
      <c r="BC10" s="24" t="n">
        <v>24</v>
      </c>
      <c r="BD10" s="12" t="n">
        <f aca="false">IFERROR(BB10/BC10*20,0)</f>
        <v>91.6666666666667</v>
      </c>
      <c r="BE10" s="31" t="n">
        <v>4.1019</v>
      </c>
      <c r="BF10" s="30" t="n">
        <v>53.02</v>
      </c>
      <c r="BG10" s="32"/>
    </row>
    <row r="11" customFormat="false" ht="15" hidden="false" customHeight="false" outlineLevel="0" collapsed="false">
      <c r="A11" s="22" t="n">
        <v>46245</v>
      </c>
      <c r="B11" s="23" t="str">
        <f aca="false">TEXT(A11,"aaa")</f>
        <v>Tue</v>
      </c>
      <c r="C11" s="24" t="n">
        <v>55476.38</v>
      </c>
      <c r="D11" s="24" t="n">
        <v>53979.5</v>
      </c>
      <c r="E11" s="24" t="n">
        <v>1487</v>
      </c>
      <c r="F11" s="25" t="n">
        <f aca="false">IFERROR(D11/E11,0)</f>
        <v>36.3009414929388</v>
      </c>
      <c r="G11" s="7" t="n">
        <f aca="false">IFERROR(D11/C11,0)</f>
        <v>0.97301770591376</v>
      </c>
      <c r="H11" s="24" t="n">
        <v>5009</v>
      </c>
      <c r="I11" s="26" t="n">
        <f aca="false">IFERROR(H11/E11,0)</f>
        <v>3.36852723604573</v>
      </c>
      <c r="J11" s="27" t="n">
        <v>0.63483523873571</v>
      </c>
      <c r="K11" s="24" t="n">
        <v>14907.81</v>
      </c>
      <c r="L11" s="7" t="n">
        <f aca="false">IFERROR(K11/D11,0)</f>
        <v>0.27617539992034</v>
      </c>
      <c r="M11" s="24" t="n">
        <v>543</v>
      </c>
      <c r="N11" s="24" t="n">
        <v>119</v>
      </c>
      <c r="O11" s="7" t="n">
        <f aca="false">IFERROR(N11/M11,0)</f>
        <v>0.219152854511971</v>
      </c>
      <c r="P11" s="24" t="n">
        <v>16622.76</v>
      </c>
      <c r="Q11" s="7" t="n">
        <f aca="false">IFERROR(P11/D11,0)</f>
        <v>0.307945794236701</v>
      </c>
      <c r="R11" s="24" t="n">
        <v>666.07</v>
      </c>
      <c r="S11" s="28" t="n">
        <f aca="false">IFERROR(R11/D11,0)</f>
        <v>0.0123393139988329</v>
      </c>
      <c r="T11" s="29" t="n">
        <v>252.77</v>
      </c>
      <c r="U11" s="29" t="n">
        <v>264.42</v>
      </c>
      <c r="V11" s="30" t="n">
        <v>28.5</v>
      </c>
      <c r="W11" s="29" t="n">
        <v>230.425</v>
      </c>
      <c r="X11" s="29" t="n">
        <v>218.7725</v>
      </c>
      <c r="Y11" s="11" t="n">
        <f aca="false">T11*V11</f>
        <v>7203.945</v>
      </c>
      <c r="Z11" s="7" t="n">
        <f aca="false">IFERROR(Y11/D11,0)</f>
        <v>0.133457053140544</v>
      </c>
      <c r="AA11" s="11" t="n">
        <f aca="false">IFERROR(D11/T11,0)</f>
        <v>213.551845551292</v>
      </c>
      <c r="AB11" s="7" t="n">
        <f aca="false">IFERROR(ABS(X11-W11)/W11,0)</f>
        <v>0.0505695996528155</v>
      </c>
      <c r="AC11" s="24" t="n">
        <v>153.37</v>
      </c>
      <c r="AD11" s="24" t="n">
        <v>56.68</v>
      </c>
      <c r="AE11" s="24" t="n">
        <v>85.31</v>
      </c>
      <c r="AF11" s="24" t="n">
        <v>127.24</v>
      </c>
      <c r="AG11" s="24" t="n">
        <v>413.62</v>
      </c>
      <c r="AH11" s="24" t="n">
        <v>1188</v>
      </c>
      <c r="AI11" s="7" t="n">
        <f aca="false">IFERROR(AH11/E11,0)</f>
        <v>0.79892400806994</v>
      </c>
      <c r="AJ11" s="24" t="n">
        <v>2</v>
      </c>
      <c r="AK11" s="28" t="n">
        <f aca="false">IFERROR(1-AJ11/E11,0)</f>
        <v>0.998655010087424</v>
      </c>
      <c r="AL11" s="26" t="n">
        <f aca="false">IFERROR(AJ11/E11*1000,0)</f>
        <v>1.34498991257566</v>
      </c>
      <c r="AM11" s="29" t="n">
        <v>96.667</v>
      </c>
      <c r="AN11" s="24" t="n">
        <v>1</v>
      </c>
      <c r="AO11" s="24" t="n">
        <v>1808</v>
      </c>
      <c r="AP11" s="24" t="n">
        <v>43</v>
      </c>
      <c r="AQ11" s="7" t="n">
        <f aca="false">IFERROR(AP11/AO11,0)</f>
        <v>0.023783185840708</v>
      </c>
      <c r="AR11" s="29" t="n">
        <v>94</v>
      </c>
      <c r="AS11" s="24" t="n">
        <v>0</v>
      </c>
      <c r="AT11" s="24" t="n">
        <v>36</v>
      </c>
      <c r="AU11" s="24" t="n">
        <v>36</v>
      </c>
      <c r="AV11" s="7" t="n">
        <f aca="false">IFERROR(AU11/AT11,0)</f>
        <v>1</v>
      </c>
      <c r="AW11" s="24" t="n">
        <v>2</v>
      </c>
      <c r="AX11" s="7" t="n">
        <f aca="false">IFERROR(AW11/AU11,0)</f>
        <v>0.0555555555555556</v>
      </c>
      <c r="AY11" s="24" t="n">
        <v>33</v>
      </c>
      <c r="AZ11" s="7" t="n">
        <f aca="false">IFERROR(AY11/AT11,0)</f>
        <v>0.916666666666667</v>
      </c>
      <c r="BA11" s="27" t="n">
        <v>0.0634920634920635</v>
      </c>
      <c r="BB11" s="24" t="n">
        <v>170</v>
      </c>
      <c r="BC11" s="24" t="n">
        <v>38</v>
      </c>
      <c r="BD11" s="12" t="n">
        <f aca="false">IFERROR(BB11/BC11*20,0)</f>
        <v>89.4736842105263</v>
      </c>
      <c r="BE11" s="31" t="n">
        <v>4.1638</v>
      </c>
      <c r="BF11" s="30" t="n">
        <v>28.59</v>
      </c>
      <c r="BG11" s="32"/>
    </row>
    <row r="12" customFormat="false" ht="15" hidden="false" customHeight="false" outlineLevel="0" collapsed="false">
      <c r="A12" s="22" t="n">
        <v>46246</v>
      </c>
      <c r="B12" s="23" t="str">
        <f aca="false">TEXT(A12,"aaa")</f>
        <v>Wed</v>
      </c>
      <c r="C12" s="24" t="n">
        <v>57815.1</v>
      </c>
      <c r="D12" s="24" t="n">
        <v>57173.74</v>
      </c>
      <c r="E12" s="24" t="n">
        <v>1588</v>
      </c>
      <c r="F12" s="25" t="n">
        <f aca="false">IFERROR(D12/E12,0)</f>
        <v>36.0036146095718</v>
      </c>
      <c r="G12" s="7" t="n">
        <f aca="false">IFERROR(D12/C12,0)</f>
        <v>0.988906704303893</v>
      </c>
      <c r="H12" s="24" t="n">
        <v>5323</v>
      </c>
      <c r="I12" s="26" t="n">
        <f aca="false">IFERROR(H12/E12,0)</f>
        <v>3.35201511335013</v>
      </c>
      <c r="J12" s="27" t="n">
        <v>0.63287153652393</v>
      </c>
      <c r="K12" s="24" t="n">
        <v>15265.07</v>
      </c>
      <c r="L12" s="7" t="n">
        <f aca="false">IFERROR(K12/D12,0)</f>
        <v>0.266994427861462</v>
      </c>
      <c r="M12" s="24" t="n">
        <v>583</v>
      </c>
      <c r="N12" s="24" t="n">
        <v>147</v>
      </c>
      <c r="O12" s="7" t="n">
        <f aca="false">IFERROR(N12/M12,0)</f>
        <v>0.252144082332762</v>
      </c>
      <c r="P12" s="24" t="n">
        <v>17764.16</v>
      </c>
      <c r="Q12" s="7" t="n">
        <f aca="false">IFERROR(P12/D12,0)</f>
        <v>0.310704879547848</v>
      </c>
      <c r="R12" s="24" t="n">
        <v>694.55</v>
      </c>
      <c r="S12" s="28" t="n">
        <f aca="false">IFERROR(R12/D12,0)</f>
        <v>0.0121480595811993</v>
      </c>
      <c r="T12" s="29" t="n">
        <v>264.38</v>
      </c>
      <c r="U12" s="29" t="n">
        <v>274.92</v>
      </c>
      <c r="V12" s="30" t="n">
        <v>28.5</v>
      </c>
      <c r="W12" s="29" t="n">
        <v>240.925</v>
      </c>
      <c r="X12" s="29" t="n">
        <v>230.3825</v>
      </c>
      <c r="Y12" s="11" t="n">
        <f aca="false">T12*V12</f>
        <v>7534.83</v>
      </c>
      <c r="Z12" s="7" t="n">
        <f aca="false">IFERROR(Y12/D12,0)</f>
        <v>0.131788300013258</v>
      </c>
      <c r="AA12" s="11" t="n">
        <f aca="false">IFERROR(D12/T12,0)</f>
        <v>216.255919509797</v>
      </c>
      <c r="AB12" s="7" t="n">
        <f aca="false">IFERROR(ABS(X12-W12)/W12,0)</f>
        <v>0.0437584310470064</v>
      </c>
      <c r="AC12" s="24" t="n">
        <v>154.07</v>
      </c>
      <c r="AD12" s="24" t="n">
        <v>57.08</v>
      </c>
      <c r="AE12" s="24" t="n">
        <v>86.31</v>
      </c>
      <c r="AF12" s="24" t="n">
        <v>129.92</v>
      </c>
      <c r="AG12" s="24" t="n">
        <v>412.56</v>
      </c>
      <c r="AH12" s="24" t="n">
        <v>1245</v>
      </c>
      <c r="AI12" s="7" t="n">
        <f aca="false">IFERROR(AH12/E12,0)</f>
        <v>0.784005037783375</v>
      </c>
      <c r="AJ12" s="24" t="n">
        <v>2</v>
      </c>
      <c r="AK12" s="28" t="n">
        <f aca="false">IFERROR(1-AJ12/E12,0)</f>
        <v>0.998740554156171</v>
      </c>
      <c r="AL12" s="26" t="n">
        <f aca="false">IFERROR(AJ12/E12*1000,0)</f>
        <v>1.25944584382872</v>
      </c>
      <c r="AM12" s="29" t="n">
        <v>98</v>
      </c>
      <c r="AN12" s="24" t="n">
        <v>0</v>
      </c>
      <c r="AO12" s="24" t="n">
        <v>1992</v>
      </c>
      <c r="AP12" s="24" t="n">
        <v>46</v>
      </c>
      <c r="AQ12" s="7" t="n">
        <f aca="false">IFERROR(AP12/AO12,0)</f>
        <v>0.0230923694779116</v>
      </c>
      <c r="AR12" s="29" t="n">
        <v>90.333</v>
      </c>
      <c r="AS12" s="24" t="n">
        <v>0</v>
      </c>
      <c r="AT12" s="24" t="n">
        <v>38</v>
      </c>
      <c r="AU12" s="24" t="n">
        <v>34</v>
      </c>
      <c r="AV12" s="7" t="n">
        <f aca="false">IFERROR(AU12/AT12,0)</f>
        <v>0.894736842105263</v>
      </c>
      <c r="AW12" s="24" t="n">
        <v>2</v>
      </c>
      <c r="AX12" s="7" t="n">
        <f aca="false">IFERROR(AW12/AU12,0)</f>
        <v>0.0588235294117647</v>
      </c>
      <c r="AY12" s="24" t="n">
        <v>35</v>
      </c>
      <c r="AZ12" s="7" t="n">
        <f aca="false">IFERROR(AY12/AT12,0)</f>
        <v>0.921052631578947</v>
      </c>
      <c r="BA12" s="27" t="n">
        <v>0.0483870967741936</v>
      </c>
      <c r="BB12" s="24" t="n">
        <v>184</v>
      </c>
      <c r="BC12" s="24" t="n">
        <v>41</v>
      </c>
      <c r="BD12" s="12" t="n">
        <f aca="false">IFERROR(BB12/BC12*20,0)</f>
        <v>89.7560975609756</v>
      </c>
      <c r="BE12" s="31" t="n">
        <v>4.1731</v>
      </c>
      <c r="BF12" s="30" t="n">
        <v>40.52</v>
      </c>
      <c r="BG12" s="32"/>
    </row>
    <row r="13" customFormat="false" ht="15" hidden="false" customHeight="false" outlineLevel="0" collapsed="false">
      <c r="A13" s="22" t="n">
        <v>46247</v>
      </c>
      <c r="B13" s="23" t="str">
        <f aca="false">TEXT(A13,"aaa")</f>
        <v>Thu</v>
      </c>
      <c r="C13" s="24" t="n">
        <v>59225.78</v>
      </c>
      <c r="D13" s="24" t="n">
        <v>57041.08</v>
      </c>
      <c r="E13" s="24" t="n">
        <v>1593</v>
      </c>
      <c r="F13" s="25" t="n">
        <f aca="false">IFERROR(D13/E13,0)</f>
        <v>35.8073320778406</v>
      </c>
      <c r="G13" s="7" t="n">
        <f aca="false">IFERROR(D13/C13,0)</f>
        <v>0.963112347359545</v>
      </c>
      <c r="H13" s="24" t="n">
        <v>5312</v>
      </c>
      <c r="I13" s="26" t="n">
        <f aca="false">IFERROR(H13/E13,0)</f>
        <v>3.33458882611425</v>
      </c>
      <c r="J13" s="27" t="n">
        <v>0.64030131826742</v>
      </c>
      <c r="K13" s="24" t="n">
        <v>14864.39</v>
      </c>
      <c r="L13" s="7" t="n">
        <f aca="false">IFERROR(K13/D13,0)</f>
        <v>0.260590963565206</v>
      </c>
      <c r="M13" s="24" t="n">
        <v>573</v>
      </c>
      <c r="N13" s="24" t="n">
        <v>134</v>
      </c>
      <c r="O13" s="7" t="n">
        <f aca="false">IFERROR(N13/M13,0)</f>
        <v>0.233856893542757</v>
      </c>
      <c r="P13" s="24" t="n">
        <v>17694.54</v>
      </c>
      <c r="Q13" s="7" t="n">
        <f aca="false">IFERROR(P13/D13,0)</f>
        <v>0.310206959615772</v>
      </c>
      <c r="R13" s="24" t="n">
        <v>685.45</v>
      </c>
      <c r="S13" s="28" t="n">
        <f aca="false">IFERROR(R13/D13,0)</f>
        <v>0.0120167780834444</v>
      </c>
      <c r="T13" s="29" t="n">
        <v>264.17</v>
      </c>
      <c r="U13" s="29" t="n">
        <v>275.45</v>
      </c>
      <c r="V13" s="30" t="n">
        <v>28.5</v>
      </c>
      <c r="W13" s="29" t="n">
        <v>241.45</v>
      </c>
      <c r="X13" s="29" t="n">
        <v>230.1675</v>
      </c>
      <c r="Y13" s="11" t="n">
        <f aca="false">T13*V13</f>
        <v>7528.845</v>
      </c>
      <c r="Z13" s="7" t="n">
        <f aca="false">IFERROR(Y13/D13,0)</f>
        <v>0.131989874665767</v>
      </c>
      <c r="AA13" s="11" t="n">
        <f aca="false">IFERROR(D13/T13,0)</f>
        <v>215.925653934966</v>
      </c>
      <c r="AB13" s="7" t="n">
        <f aca="false">IFERROR(ABS(X13-W13)/W13,0)</f>
        <v>0.0467281010561193</v>
      </c>
      <c r="AC13" s="24" t="n">
        <v>155.89</v>
      </c>
      <c r="AD13" s="24" t="n">
        <v>58.35</v>
      </c>
      <c r="AE13" s="24" t="n">
        <v>86.28</v>
      </c>
      <c r="AF13" s="24" t="n">
        <v>128.93</v>
      </c>
      <c r="AG13" s="24" t="n">
        <v>414.87</v>
      </c>
      <c r="AH13" s="24" t="n">
        <v>1234</v>
      </c>
      <c r="AI13" s="7" t="n">
        <f aca="false">IFERROR(AH13/E13,0)</f>
        <v>0.774639045825487</v>
      </c>
      <c r="AJ13" s="24" t="n">
        <v>1</v>
      </c>
      <c r="AK13" s="28" t="n">
        <f aca="false">IFERROR(1-AJ13/E13,0)</f>
        <v>0.999372253609542</v>
      </c>
      <c r="AL13" s="26" t="n">
        <f aca="false">IFERROR(AJ13/E13*1000,0)</f>
        <v>0.627746390458255</v>
      </c>
      <c r="AM13" s="29" t="n">
        <v>98.667</v>
      </c>
      <c r="AN13" s="24" t="n">
        <v>0</v>
      </c>
      <c r="AO13" s="24" t="n">
        <v>1933</v>
      </c>
      <c r="AP13" s="24" t="n">
        <v>54</v>
      </c>
      <c r="AQ13" s="7" t="n">
        <f aca="false">IFERROR(AP13/AO13,0)</f>
        <v>0.0279358510087946</v>
      </c>
      <c r="AR13" s="29" t="n">
        <v>93.267</v>
      </c>
      <c r="AS13" s="24" t="n">
        <v>0</v>
      </c>
      <c r="AT13" s="24" t="n">
        <v>38</v>
      </c>
      <c r="AU13" s="24" t="n">
        <v>37</v>
      </c>
      <c r="AV13" s="7" t="n">
        <f aca="false">IFERROR(AU13/AT13,0)</f>
        <v>0.973684210526316</v>
      </c>
      <c r="AW13" s="24" t="n">
        <v>3</v>
      </c>
      <c r="AX13" s="7" t="n">
        <f aca="false">IFERROR(AW13/AU13,0)</f>
        <v>0.0810810810810811</v>
      </c>
      <c r="AY13" s="24" t="n">
        <v>34</v>
      </c>
      <c r="AZ13" s="7" t="n">
        <f aca="false">IFERROR(AY13/AT13,0)</f>
        <v>0.894736842105263</v>
      </c>
      <c r="BA13" s="27" t="n">
        <v>0.0483870967741936</v>
      </c>
      <c r="BB13" s="24" t="n">
        <v>168</v>
      </c>
      <c r="BC13" s="24" t="n">
        <v>37</v>
      </c>
      <c r="BD13" s="12" t="n">
        <f aca="false">IFERROR(BB13/BC13*20,0)</f>
        <v>90.8108108108108</v>
      </c>
      <c r="BE13" s="31" t="n">
        <v>4.2575</v>
      </c>
      <c r="BF13" s="30" t="n">
        <v>17.96</v>
      </c>
      <c r="BG13" s="32"/>
    </row>
    <row r="14" customFormat="false" ht="15" hidden="false" customHeight="false" outlineLevel="0" collapsed="false">
      <c r="A14" s="22" t="n">
        <v>46248</v>
      </c>
      <c r="B14" s="23" t="str">
        <f aca="false">TEXT(A14,"aaa")</f>
        <v>Fri</v>
      </c>
      <c r="C14" s="24" t="n">
        <v>70765.05</v>
      </c>
      <c r="D14" s="24" t="n">
        <v>68068.84</v>
      </c>
      <c r="E14" s="24" t="n">
        <v>1922</v>
      </c>
      <c r="F14" s="25" t="n">
        <f aca="false">IFERROR(D14/E14,0)</f>
        <v>35.4156295525494</v>
      </c>
      <c r="G14" s="7" t="n">
        <f aca="false">IFERROR(D14/C14,0)</f>
        <v>0.961899129584449</v>
      </c>
      <c r="H14" s="24" t="n">
        <v>6386</v>
      </c>
      <c r="I14" s="26" t="n">
        <f aca="false">IFERROR(H14/E14,0)</f>
        <v>3.32258064516129</v>
      </c>
      <c r="J14" s="27" t="n">
        <v>0.622788761706556</v>
      </c>
      <c r="K14" s="24" t="n">
        <v>17581.81</v>
      </c>
      <c r="L14" s="7" t="n">
        <f aca="false">IFERROR(K14/D14,0)</f>
        <v>0.258294544170284</v>
      </c>
      <c r="M14" s="24" t="n">
        <v>725</v>
      </c>
      <c r="N14" s="24" t="n">
        <v>157</v>
      </c>
      <c r="O14" s="7" t="n">
        <f aca="false">IFERROR(N14/M14,0)</f>
        <v>0.216551724137931</v>
      </c>
      <c r="P14" s="24" t="n">
        <v>21122.82</v>
      </c>
      <c r="Q14" s="7" t="n">
        <f aca="false">IFERROR(P14/D14,0)</f>
        <v>0.310315557015516</v>
      </c>
      <c r="R14" s="24" t="n">
        <v>788.28</v>
      </c>
      <c r="S14" s="28" t="n">
        <f aca="false">IFERROR(R14/D14,0)</f>
        <v>0.0115806292570874</v>
      </c>
      <c r="T14" s="29" t="n">
        <v>300.13</v>
      </c>
      <c r="U14" s="29" t="n">
        <v>309.77</v>
      </c>
      <c r="V14" s="30" t="n">
        <v>28.5</v>
      </c>
      <c r="W14" s="29" t="n">
        <v>275.775</v>
      </c>
      <c r="X14" s="29" t="n">
        <v>266.1325</v>
      </c>
      <c r="Y14" s="11" t="n">
        <f aca="false">T14*V14</f>
        <v>8553.705</v>
      </c>
      <c r="Z14" s="7" t="n">
        <f aca="false">IFERROR(Y14/D14,0)</f>
        <v>0.125662564544952</v>
      </c>
      <c r="AA14" s="11" t="n">
        <f aca="false">IFERROR(D14/T14,0)</f>
        <v>226.797854263153</v>
      </c>
      <c r="AB14" s="7" t="n">
        <f aca="false">IFERROR(ABS(X14-W14)/W14,0)</f>
        <v>0.0349650983591696</v>
      </c>
      <c r="AC14" s="24" t="n">
        <v>155.69</v>
      </c>
      <c r="AD14" s="24" t="n">
        <v>57.58</v>
      </c>
      <c r="AE14" s="24" t="n">
        <v>86.94</v>
      </c>
      <c r="AF14" s="24" t="n">
        <v>130.29</v>
      </c>
      <c r="AG14" s="24" t="n">
        <v>421.83</v>
      </c>
      <c r="AH14" s="24" t="n">
        <v>1472</v>
      </c>
      <c r="AI14" s="7" t="n">
        <f aca="false">IFERROR(AH14/E14,0)</f>
        <v>0.765868886576483</v>
      </c>
      <c r="AJ14" s="24" t="n">
        <v>5</v>
      </c>
      <c r="AK14" s="28" t="n">
        <f aca="false">IFERROR(1-AJ14/E14,0)</f>
        <v>0.997398543184183</v>
      </c>
      <c r="AL14" s="26" t="n">
        <f aca="false">IFERROR(AJ14/E14*1000,0)</f>
        <v>2.60145681581686</v>
      </c>
      <c r="AM14" s="29" t="n">
        <v>98.667</v>
      </c>
      <c r="AN14" s="24" t="n">
        <v>5</v>
      </c>
      <c r="AO14" s="24" t="n">
        <v>2479</v>
      </c>
      <c r="AP14" s="24" t="n">
        <v>74</v>
      </c>
      <c r="AQ14" s="7" t="n">
        <f aca="false">IFERROR(AP14/AO14,0)</f>
        <v>0.0298507462686567</v>
      </c>
      <c r="AR14" s="29" t="n">
        <v>91.667</v>
      </c>
      <c r="AS14" s="24" t="n">
        <v>0</v>
      </c>
      <c r="AT14" s="24" t="n">
        <v>44</v>
      </c>
      <c r="AU14" s="24" t="n">
        <v>44</v>
      </c>
      <c r="AV14" s="7" t="n">
        <f aca="false">IFERROR(AU14/AT14,0)</f>
        <v>1</v>
      </c>
      <c r="AW14" s="24" t="n">
        <v>0</v>
      </c>
      <c r="AX14" s="7" t="n">
        <f aca="false">IFERROR(AW14/AU14,0)</f>
        <v>0</v>
      </c>
      <c r="AY14" s="24" t="n">
        <v>38</v>
      </c>
      <c r="AZ14" s="7" t="n">
        <f aca="false">IFERROR(AY14/AT14,0)</f>
        <v>0.863636363636364</v>
      </c>
      <c r="BA14" s="27" t="n">
        <v>0.0483870967741936</v>
      </c>
      <c r="BB14" s="24" t="n">
        <v>186</v>
      </c>
      <c r="BC14" s="24" t="n">
        <v>42</v>
      </c>
      <c r="BD14" s="12" t="n">
        <f aca="false">IFERROR(BB14/BC14*20,0)</f>
        <v>88.5714285714286</v>
      </c>
      <c r="BE14" s="31" t="n">
        <v>4.0874</v>
      </c>
      <c r="BF14" s="30" t="n">
        <v>38.21</v>
      </c>
      <c r="BG14" s="32"/>
    </row>
    <row r="15" customFormat="false" ht="15" hidden="false" customHeight="false" outlineLevel="0" collapsed="false">
      <c r="A15" s="22" t="n">
        <v>46249</v>
      </c>
      <c r="B15" s="23" t="str">
        <f aca="false">TEXT(A15,"aaa")</f>
        <v>Sat</v>
      </c>
      <c r="C15" s="24" t="n">
        <v>75705.5</v>
      </c>
      <c r="D15" s="24" t="n">
        <v>76512.05</v>
      </c>
      <c r="E15" s="24" t="n">
        <v>2125</v>
      </c>
      <c r="F15" s="25" t="n">
        <f aca="false">IFERROR(D15/E15,0)</f>
        <v>36.0056705882353</v>
      </c>
      <c r="G15" s="7" t="n">
        <f aca="false">IFERROR(D15/C15,0)</f>
        <v>1.01065378341072</v>
      </c>
      <c r="H15" s="24" t="n">
        <v>7122</v>
      </c>
      <c r="I15" s="26" t="n">
        <f aca="false">IFERROR(H15/E15,0)</f>
        <v>3.35152941176471</v>
      </c>
      <c r="J15" s="27" t="n">
        <v>0.64564705882353</v>
      </c>
      <c r="K15" s="24" t="n">
        <v>20624.22</v>
      </c>
      <c r="L15" s="7" t="n">
        <f aca="false">IFERROR(K15/D15,0)</f>
        <v>0.269555187712262</v>
      </c>
      <c r="M15" s="24" t="n">
        <v>753</v>
      </c>
      <c r="N15" s="24" t="n">
        <v>174</v>
      </c>
      <c r="O15" s="7" t="n">
        <f aca="false">IFERROR(N15/M15,0)</f>
        <v>0.231075697211155</v>
      </c>
      <c r="P15" s="24" t="n">
        <v>23981.49</v>
      </c>
      <c r="Q15" s="7" t="n">
        <f aca="false">IFERROR(P15/D15,0)</f>
        <v>0.313434158410342</v>
      </c>
      <c r="R15" s="24" t="n">
        <v>916.96</v>
      </c>
      <c r="S15" s="28" t="n">
        <f aca="false">IFERROR(R15/D15,0)</f>
        <v>0.011984517471431</v>
      </c>
      <c r="T15" s="29" t="n">
        <v>319.66</v>
      </c>
      <c r="U15" s="29" t="n">
        <v>330.95</v>
      </c>
      <c r="V15" s="30" t="n">
        <v>28.5</v>
      </c>
      <c r="W15" s="29" t="n">
        <v>296.95</v>
      </c>
      <c r="X15" s="29" t="n">
        <v>285.6575</v>
      </c>
      <c r="Y15" s="11" t="n">
        <f aca="false">T15*V15</f>
        <v>9110.31</v>
      </c>
      <c r="Z15" s="7" t="n">
        <f aca="false">IFERROR(Y15/D15,0)</f>
        <v>0.119070264095656</v>
      </c>
      <c r="AA15" s="11" t="n">
        <f aca="false">IFERROR(D15/T15,0)</f>
        <v>239.354470374773</v>
      </c>
      <c r="AB15" s="7" t="n">
        <f aca="false">IFERROR(ABS(X15-W15)/W15,0)</f>
        <v>0.0380282875905033</v>
      </c>
      <c r="AC15" s="24" t="n">
        <v>158.02</v>
      </c>
      <c r="AD15" s="24" t="n">
        <v>58.32</v>
      </c>
      <c r="AE15" s="24" t="n">
        <v>88.18</v>
      </c>
      <c r="AF15" s="24" t="n">
        <v>131.69</v>
      </c>
      <c r="AG15" s="24" t="n">
        <v>434.35</v>
      </c>
      <c r="AH15" s="24" t="n">
        <v>1561</v>
      </c>
      <c r="AI15" s="7" t="n">
        <f aca="false">IFERROR(AH15/E15,0)</f>
        <v>0.734588235294118</v>
      </c>
      <c r="AJ15" s="24" t="n">
        <v>3</v>
      </c>
      <c r="AK15" s="28" t="n">
        <f aca="false">IFERROR(1-AJ15/E15,0)</f>
        <v>0.998588235294118</v>
      </c>
      <c r="AL15" s="26" t="n">
        <f aca="false">IFERROR(AJ15/E15*1000,0)</f>
        <v>1.41176470588235</v>
      </c>
      <c r="AM15" s="29" t="n">
        <v>98.667</v>
      </c>
      <c r="AN15" s="24" t="n">
        <v>0</v>
      </c>
      <c r="AO15" s="24" t="n">
        <v>2685</v>
      </c>
      <c r="AP15" s="24" t="n">
        <v>76</v>
      </c>
      <c r="AQ15" s="7" t="n">
        <f aca="false">IFERROR(AP15/AO15,0)</f>
        <v>0.0283054003724395</v>
      </c>
      <c r="AR15" s="29" t="n">
        <v>91.533</v>
      </c>
      <c r="AS15" s="24" t="n">
        <v>0</v>
      </c>
      <c r="AT15" s="24" t="n">
        <v>48</v>
      </c>
      <c r="AU15" s="24" t="n">
        <v>45</v>
      </c>
      <c r="AV15" s="7" t="n">
        <f aca="false">IFERROR(AU15/AT15,0)</f>
        <v>0.9375</v>
      </c>
      <c r="AW15" s="24" t="n">
        <v>4</v>
      </c>
      <c r="AX15" s="7" t="n">
        <f aca="false">IFERROR(AW15/AU15,0)</f>
        <v>0.0888888888888889</v>
      </c>
      <c r="AY15" s="24" t="n">
        <v>43</v>
      </c>
      <c r="AZ15" s="7" t="n">
        <f aca="false">IFERROR(AY15/AT15,0)</f>
        <v>0.895833333333333</v>
      </c>
      <c r="BA15" s="27" t="n">
        <v>0.0483870967741936</v>
      </c>
      <c r="BB15" s="24" t="n">
        <v>205</v>
      </c>
      <c r="BC15" s="24" t="n">
        <v>46</v>
      </c>
      <c r="BD15" s="12" t="n">
        <f aca="false">IFERROR(BB15/BC15*20,0)</f>
        <v>89.1304347826087</v>
      </c>
      <c r="BE15" s="31" t="n">
        <v>3.992</v>
      </c>
      <c r="BF15" s="30" t="n">
        <v>64.05</v>
      </c>
      <c r="BG15" s="32"/>
    </row>
    <row r="16" customFormat="false" ht="15" hidden="false" customHeight="false" outlineLevel="0" collapsed="false">
      <c r="A16" s="22" t="n">
        <v>46250</v>
      </c>
      <c r="B16" s="23" t="str">
        <f aca="false">TEXT(A16,"aaa")</f>
        <v>Sun</v>
      </c>
      <c r="C16" s="24" t="n">
        <v>71075.89</v>
      </c>
      <c r="D16" s="24" t="n">
        <v>68620.32</v>
      </c>
      <c r="E16" s="24" t="n">
        <v>1921</v>
      </c>
      <c r="F16" s="25" t="n">
        <f aca="false">IFERROR(D16/E16,0)</f>
        <v>35.7211452368558</v>
      </c>
      <c r="G16" s="7" t="n">
        <f aca="false">IFERROR(D16/C16,0)</f>
        <v>0.965451435078759</v>
      </c>
      <c r="H16" s="24" t="n">
        <v>6402</v>
      </c>
      <c r="I16" s="26" t="n">
        <f aca="false">IFERROR(H16/E16,0)</f>
        <v>3.33263925039042</v>
      </c>
      <c r="J16" s="27" t="n">
        <v>0.623633524206143</v>
      </c>
      <c r="K16" s="24" t="n">
        <v>18891.16</v>
      </c>
      <c r="L16" s="7" t="n">
        <f aca="false">IFERROR(K16/D16,0)</f>
        <v>0.275299794579798</v>
      </c>
      <c r="M16" s="24" t="n">
        <v>723</v>
      </c>
      <c r="N16" s="24" t="n">
        <v>171</v>
      </c>
      <c r="O16" s="7" t="n">
        <f aca="false">IFERROR(N16/M16,0)</f>
        <v>0.236514522821577</v>
      </c>
      <c r="P16" s="24" t="n">
        <v>21019.54</v>
      </c>
      <c r="Q16" s="7" t="n">
        <f aca="false">IFERROR(P16/D16,0)</f>
        <v>0.306316554629882</v>
      </c>
      <c r="R16" s="24" t="n">
        <v>828.77</v>
      </c>
      <c r="S16" s="28" t="n">
        <f aca="false">IFERROR(R16/D16,0)</f>
        <v>0.0120776178251573</v>
      </c>
      <c r="T16" s="29" t="n">
        <v>298.75</v>
      </c>
      <c r="U16" s="29" t="n">
        <v>309.67</v>
      </c>
      <c r="V16" s="30" t="n">
        <v>28.5</v>
      </c>
      <c r="W16" s="29" t="n">
        <v>275.675</v>
      </c>
      <c r="X16" s="29" t="n">
        <v>264.7525</v>
      </c>
      <c r="Y16" s="11" t="n">
        <f aca="false">T16*V16</f>
        <v>8514.375</v>
      </c>
      <c r="Z16" s="7" t="n">
        <f aca="false">IFERROR(Y16/D16,0)</f>
        <v>0.124079500066453</v>
      </c>
      <c r="AA16" s="11" t="n">
        <f aca="false">IFERROR(D16/T16,0)</f>
        <v>229.691447698745</v>
      </c>
      <c r="AB16" s="7" t="n">
        <f aca="false">IFERROR(ABS(X16-W16)/W16,0)</f>
        <v>0.039620930443457</v>
      </c>
      <c r="AC16" s="24" t="n">
        <v>159.01</v>
      </c>
      <c r="AD16" s="24" t="n">
        <v>58.19</v>
      </c>
      <c r="AE16" s="24" t="n">
        <v>86.79</v>
      </c>
      <c r="AF16" s="24" t="n">
        <v>130.02</v>
      </c>
      <c r="AG16" s="24" t="n">
        <v>424.74</v>
      </c>
      <c r="AH16" s="24" t="n">
        <v>1425</v>
      </c>
      <c r="AI16" s="7" t="n">
        <f aca="false">IFERROR(AH16/E16,0)</f>
        <v>0.741801145236856</v>
      </c>
      <c r="AJ16" s="24" t="n">
        <v>2</v>
      </c>
      <c r="AK16" s="28" t="n">
        <f aca="false">IFERROR(1-AJ16/E16,0)</f>
        <v>0.998958875585633</v>
      </c>
      <c r="AL16" s="26" t="n">
        <f aca="false">IFERROR(AJ16/E16*1000,0)</f>
        <v>1.04112441436752</v>
      </c>
      <c r="AM16" s="29" t="n">
        <v>100</v>
      </c>
      <c r="AN16" s="24" t="n">
        <v>1</v>
      </c>
      <c r="AO16" s="24" t="n">
        <v>2454</v>
      </c>
      <c r="AP16" s="24" t="n">
        <v>65</v>
      </c>
      <c r="AQ16" s="7" t="n">
        <f aca="false">IFERROR(AP16/AO16,0)</f>
        <v>0.0264873675631622</v>
      </c>
      <c r="AR16" s="29" t="n">
        <v>89.667</v>
      </c>
      <c r="AS16" s="24" t="n">
        <v>0</v>
      </c>
      <c r="AT16" s="24" t="n">
        <v>44</v>
      </c>
      <c r="AU16" s="24" t="n">
        <v>44</v>
      </c>
      <c r="AV16" s="7" t="n">
        <f aca="false">IFERROR(AU16/AT16,0)</f>
        <v>1</v>
      </c>
      <c r="AW16" s="24" t="n">
        <v>1</v>
      </c>
      <c r="AX16" s="7" t="n">
        <f aca="false">IFERROR(AW16/AU16,0)</f>
        <v>0.0227272727272727</v>
      </c>
      <c r="AY16" s="24" t="n">
        <v>38</v>
      </c>
      <c r="AZ16" s="7" t="n">
        <f aca="false">IFERROR(AY16/AT16,0)</f>
        <v>0.863636363636364</v>
      </c>
      <c r="BA16" s="27" t="n">
        <v>0.0483870967741936</v>
      </c>
      <c r="BB16" s="24" t="n">
        <v>168</v>
      </c>
      <c r="BC16" s="24" t="n">
        <v>36</v>
      </c>
      <c r="BD16" s="12" t="n">
        <f aca="false">IFERROR(BB16/BC16*20,0)</f>
        <v>93.3333333333333</v>
      </c>
      <c r="BE16" s="31" t="n">
        <v>4.0067</v>
      </c>
      <c r="BF16" s="30" t="n">
        <v>27.32</v>
      </c>
      <c r="BG16" s="32"/>
    </row>
    <row r="17" customFormat="false" ht="15" hidden="false" customHeight="false" outlineLevel="0" collapsed="false">
      <c r="A17" s="22" t="n">
        <v>46251</v>
      </c>
      <c r="B17" s="23" t="str">
        <f aca="false">TEXT(A17,"aaa")</f>
        <v>Mon</v>
      </c>
      <c r="C17" s="24" t="n">
        <v>58302.62</v>
      </c>
      <c r="D17" s="24" t="n">
        <v>56535.44</v>
      </c>
      <c r="E17" s="24" t="n">
        <v>1564</v>
      </c>
      <c r="F17" s="25" t="n">
        <f aca="false">IFERROR(D17/E17,0)</f>
        <v>36.1479795396419</v>
      </c>
      <c r="G17" s="7" t="n">
        <f aca="false">IFERROR(D17/C17,0)</f>
        <v>0.969689526817148</v>
      </c>
      <c r="H17" s="24" t="n">
        <v>5284</v>
      </c>
      <c r="I17" s="26" t="n">
        <f aca="false">IFERROR(H17/E17,0)</f>
        <v>3.37851662404092</v>
      </c>
      <c r="J17" s="27" t="n">
        <v>0.642583120204604</v>
      </c>
      <c r="K17" s="24" t="n">
        <v>15736.19</v>
      </c>
      <c r="L17" s="7" t="n">
        <f aca="false">IFERROR(K17/D17,0)</f>
        <v>0.278342045272841</v>
      </c>
      <c r="M17" s="24" t="n">
        <v>559</v>
      </c>
      <c r="N17" s="24" t="n">
        <v>142</v>
      </c>
      <c r="O17" s="7" t="n">
        <f aca="false">IFERROR(N17/M17,0)</f>
        <v>0.254025044722719</v>
      </c>
      <c r="P17" s="24" t="n">
        <v>17629.69</v>
      </c>
      <c r="Q17" s="7" t="n">
        <f aca="false">IFERROR(P17/D17,0)</f>
        <v>0.311834311362926</v>
      </c>
      <c r="R17" s="24" t="n">
        <v>723.33</v>
      </c>
      <c r="S17" s="28" t="n">
        <f aca="false">IFERROR(R17/D17,0)</f>
        <v>0.0127942755906737</v>
      </c>
      <c r="T17" s="29" t="n">
        <v>261.15</v>
      </c>
      <c r="U17" s="29" t="n">
        <v>272.45</v>
      </c>
      <c r="V17" s="30" t="n">
        <v>28.5</v>
      </c>
      <c r="W17" s="29" t="n">
        <v>238.45</v>
      </c>
      <c r="X17" s="29" t="n">
        <v>227.15</v>
      </c>
      <c r="Y17" s="11" t="n">
        <f aca="false">T17*V17</f>
        <v>7442.775</v>
      </c>
      <c r="Z17" s="7" t="n">
        <f aca="false">IFERROR(Y17/D17,0)</f>
        <v>0.131647953920585</v>
      </c>
      <c r="AA17" s="11" t="n">
        <f aca="false">IFERROR(D17/T17,0)</f>
        <v>216.48646371817</v>
      </c>
      <c r="AB17" s="7" t="n">
        <f aca="false">IFERROR(ABS(X17-W17)/W17,0)</f>
        <v>0.0473893898091842</v>
      </c>
      <c r="AC17" s="24" t="n">
        <v>150.95</v>
      </c>
      <c r="AD17" s="24" t="n">
        <v>56.76</v>
      </c>
      <c r="AE17" s="24" t="n">
        <v>86.52</v>
      </c>
      <c r="AF17" s="24" t="n">
        <v>129.8</v>
      </c>
      <c r="AG17" s="24" t="n">
        <v>416.59</v>
      </c>
      <c r="AH17" s="24" t="n">
        <v>1232</v>
      </c>
      <c r="AI17" s="7" t="n">
        <f aca="false">IFERROR(AH17/E17,0)</f>
        <v>0.78772378516624</v>
      </c>
      <c r="AJ17" s="24" t="n">
        <v>1</v>
      </c>
      <c r="AK17" s="28" t="n">
        <f aca="false">IFERROR(1-AJ17/E17,0)</f>
        <v>0.999360613810742</v>
      </c>
      <c r="AL17" s="26" t="n">
        <f aca="false">IFERROR(AJ17/E17*1000,0)</f>
        <v>0.639386189258312</v>
      </c>
      <c r="AM17" s="29" t="n">
        <v>95.333</v>
      </c>
      <c r="AN17" s="24" t="n">
        <v>0</v>
      </c>
      <c r="AO17" s="24" t="n">
        <v>2032</v>
      </c>
      <c r="AP17" s="24" t="n">
        <v>49</v>
      </c>
      <c r="AQ17" s="7" t="n">
        <f aca="false">IFERROR(AP17/AO17,0)</f>
        <v>0.0241141732283465</v>
      </c>
      <c r="AR17" s="29" t="n">
        <v>89.067</v>
      </c>
      <c r="AS17" s="24" t="n">
        <v>0</v>
      </c>
      <c r="AT17" s="24" t="n">
        <v>38</v>
      </c>
      <c r="AU17" s="24" t="n">
        <v>37</v>
      </c>
      <c r="AV17" s="7" t="n">
        <f aca="false">IFERROR(AU17/AT17,0)</f>
        <v>0.973684210526316</v>
      </c>
      <c r="AW17" s="24" t="n">
        <v>4</v>
      </c>
      <c r="AX17" s="7" t="n">
        <f aca="false">IFERROR(AW17/AU17,0)</f>
        <v>0.108108108108108</v>
      </c>
      <c r="AY17" s="24" t="n">
        <v>33</v>
      </c>
      <c r="AZ17" s="7" t="n">
        <f aca="false">IFERROR(AY17/AT17,0)</f>
        <v>0.868421052631579</v>
      </c>
      <c r="BA17" s="27" t="n">
        <v>0.0483870967741936</v>
      </c>
      <c r="BB17" s="24" t="n">
        <v>152</v>
      </c>
      <c r="BC17" s="24" t="n">
        <v>35</v>
      </c>
      <c r="BD17" s="12" t="n">
        <f aca="false">IFERROR(BB17/BC17*20,0)</f>
        <v>86.8571428571429</v>
      </c>
      <c r="BE17" s="31" t="n">
        <v>4.1257</v>
      </c>
      <c r="BF17" s="30" t="n">
        <v>9.49</v>
      </c>
      <c r="BG17" s="32"/>
    </row>
    <row r="18" customFormat="false" ht="15" hidden="false" customHeight="false" outlineLevel="0" collapsed="false">
      <c r="A18" s="22" t="n">
        <v>46252</v>
      </c>
      <c r="B18" s="23" t="str">
        <f aca="false">TEXT(A18,"aaa")</f>
        <v>Tue</v>
      </c>
      <c r="C18" s="24" t="n">
        <v>57207.16</v>
      </c>
      <c r="D18" s="24" t="n">
        <v>55987.74</v>
      </c>
      <c r="E18" s="24" t="n">
        <v>1564</v>
      </c>
      <c r="F18" s="25" t="n">
        <f aca="false">IFERROR(D18/E18,0)</f>
        <v>35.7977877237852</v>
      </c>
      <c r="G18" s="7" t="n">
        <f aca="false">IFERROR(D18/C18,0)</f>
        <v>0.978684136740925</v>
      </c>
      <c r="H18" s="24" t="n">
        <v>5221</v>
      </c>
      <c r="I18" s="26" t="n">
        <f aca="false">IFERROR(H18/E18,0)</f>
        <v>3.33823529411765</v>
      </c>
      <c r="J18" s="27" t="n">
        <v>0.627237851662404</v>
      </c>
      <c r="K18" s="24" t="n">
        <v>14893.8</v>
      </c>
      <c r="L18" s="7" t="n">
        <f aca="false">IFERROR(K18/D18,0)</f>
        <v>0.266018953435163</v>
      </c>
      <c r="M18" s="24" t="n">
        <v>583</v>
      </c>
      <c r="N18" s="24" t="n">
        <v>143</v>
      </c>
      <c r="O18" s="7" t="n">
        <f aca="false">IFERROR(N18/M18,0)</f>
        <v>0.245283018867925</v>
      </c>
      <c r="P18" s="24" t="n">
        <v>17479.01</v>
      </c>
      <c r="Q18" s="7" t="n">
        <f aca="false">IFERROR(P18/D18,0)</f>
        <v>0.312193526654228</v>
      </c>
      <c r="R18" s="24" t="n">
        <v>616.51</v>
      </c>
      <c r="S18" s="28" t="n">
        <f aca="false">IFERROR(R18/D18,0)</f>
        <v>0.0110115178787356</v>
      </c>
      <c r="T18" s="29" t="n">
        <v>260.23</v>
      </c>
      <c r="U18" s="29" t="n">
        <v>272.45</v>
      </c>
      <c r="V18" s="30" t="n">
        <v>28.5</v>
      </c>
      <c r="W18" s="29" t="n">
        <v>238.45</v>
      </c>
      <c r="X18" s="29" t="n">
        <v>226.2325</v>
      </c>
      <c r="Y18" s="11" t="n">
        <f aca="false">T18*V18</f>
        <v>7416.555</v>
      </c>
      <c r="Z18" s="7" t="n">
        <f aca="false">IFERROR(Y18/D18,0)</f>
        <v>0.132467483059684</v>
      </c>
      <c r="AA18" s="11" t="n">
        <f aca="false">IFERROR(D18/T18,0)</f>
        <v>215.147139069285</v>
      </c>
      <c r="AB18" s="7" t="n">
        <f aca="false">IFERROR(ABS(X18-W18)/W18,0)</f>
        <v>0.0512371566366115</v>
      </c>
      <c r="AC18" s="24" t="n">
        <v>158.34</v>
      </c>
      <c r="AD18" s="24" t="n">
        <v>58.36</v>
      </c>
      <c r="AE18" s="24" t="n">
        <v>86.24</v>
      </c>
      <c r="AF18" s="24" t="n">
        <v>129.08</v>
      </c>
      <c r="AG18" s="24" t="n">
        <v>416.28</v>
      </c>
      <c r="AH18" s="24" t="n">
        <v>1198</v>
      </c>
      <c r="AI18" s="7" t="n">
        <f aca="false">IFERROR(AH18/E18,0)</f>
        <v>0.765984654731458</v>
      </c>
      <c r="AJ18" s="24" t="n">
        <v>1</v>
      </c>
      <c r="AK18" s="28" t="n">
        <f aca="false">IFERROR(1-AJ18/E18,0)</f>
        <v>0.999360613810742</v>
      </c>
      <c r="AL18" s="26" t="n">
        <f aca="false">IFERROR(AJ18/E18*1000,0)</f>
        <v>0.639386189258312</v>
      </c>
      <c r="AM18" s="29" t="n">
        <v>100</v>
      </c>
      <c r="AN18" s="24" t="n">
        <v>0</v>
      </c>
      <c r="AO18" s="24" t="n">
        <v>1902</v>
      </c>
      <c r="AP18" s="24" t="n">
        <v>49</v>
      </c>
      <c r="AQ18" s="7" t="n">
        <f aca="false">IFERROR(AP18/AO18,0)</f>
        <v>0.0257623554153523</v>
      </c>
      <c r="AR18" s="29" t="n">
        <v>91.867</v>
      </c>
      <c r="AS18" s="24" t="n">
        <v>76</v>
      </c>
      <c r="AT18" s="24" t="n">
        <v>38</v>
      </c>
      <c r="AU18" s="24" t="n">
        <v>38</v>
      </c>
      <c r="AV18" s="7" t="n">
        <f aca="false">IFERROR(AU18/AT18,0)</f>
        <v>1</v>
      </c>
      <c r="AW18" s="24" t="n">
        <v>4</v>
      </c>
      <c r="AX18" s="7" t="n">
        <f aca="false">IFERROR(AW18/AU18,0)</f>
        <v>0.105263157894737</v>
      </c>
      <c r="AY18" s="24" t="n">
        <v>34</v>
      </c>
      <c r="AZ18" s="7" t="n">
        <f aca="false">IFERROR(AY18/AT18,0)</f>
        <v>0.894736842105263</v>
      </c>
      <c r="BA18" s="27" t="n">
        <v>0.0476190476190476</v>
      </c>
      <c r="BB18" s="24" t="n">
        <v>162</v>
      </c>
      <c r="BC18" s="24" t="n">
        <v>35</v>
      </c>
      <c r="BD18" s="12" t="n">
        <f aca="false">IFERROR(BB18/BC18*20,0)</f>
        <v>92.5714285714286</v>
      </c>
      <c r="BE18" s="31" t="n">
        <v>4.1375</v>
      </c>
      <c r="BF18" s="30" t="n">
        <v>8.5</v>
      </c>
      <c r="BG18" s="32"/>
    </row>
    <row r="20" customFormat="false" ht="25.5" hidden="false" customHeight="true" outlineLevel="0" collapsed="false">
      <c r="A20" s="21" t="s">
        <v>94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</row>
  </sheetData>
  <mergeCells count="3">
    <mergeCell ref="A1:BG1"/>
    <mergeCell ref="A2:BG2"/>
    <mergeCell ref="A20:BG20"/>
  </mergeCells>
  <conditionalFormatting sqref="G5:G18">
    <cfRule type="colorScale" priority="2">
      <colorScale>
        <cfvo type="num" val="0.9"/>
        <cfvo type="num" val="0.98"/>
        <cfvo type="num" val="1.05"/>
        <color rgb="FFFDECEC"/>
        <color rgb="FFFFF3CD"/>
        <color rgb="FFE8F5E9"/>
      </colorScale>
    </cfRule>
  </conditionalFormatting>
  <conditionalFormatting sqref="AI5:AI18">
    <cfRule type="cellIs" priority="3" operator="lessThan" aboveAverage="0" equalAverage="0" bottom="0" percent="0" rank="0" text="" dxfId="21">
      <formula>0.8</formula>
    </cfRule>
  </conditionalFormatting>
  <conditionalFormatting sqref="AK5:AK18">
    <cfRule type="cellIs" priority="4" operator="lessThan" aboveAverage="0" equalAverage="0" bottom="0" percent="0" rank="0" text="" dxfId="21">
      <formula>0.99</formula>
    </cfRule>
  </conditionalFormatting>
  <conditionalFormatting sqref="AV5:AV18">
    <cfRule type="cellIs" priority="5" operator="lessThan" aboveAverage="0" equalAverage="0" bottom="0" percent="0" rank="0" text="" dxfId="21">
      <formula>0.92</formula>
    </cfRule>
  </conditionalFormatting>
  <conditionalFormatting sqref="Q5:Q18">
    <cfRule type="cellIs" priority="6" operator="greaterThan" aboveAverage="0" equalAverage="0" bottom="0" percent="0" rank="0" text="" dxfId="21">
      <formula>0.325</formula>
    </cfRule>
  </conditionalFormatting>
  <conditionalFormatting sqref="S5:S18">
    <cfRule type="cellIs" priority="7" operator="greaterThan" aboveAverage="0" equalAverage="0" bottom="0" percent="0" rank="0" text="" dxfId="21">
      <formula>0.015</formula>
    </cfRule>
  </conditionalFormatting>
  <conditionalFormatting sqref="Z5:Z18">
    <cfRule type="cellIs" priority="8" operator="greaterThan" aboveAverage="0" equalAverage="0" bottom="0" percent="0" rank="0" text="" dxfId="21">
      <formula>0.155</formula>
    </cfRule>
  </conditionalFormatting>
  <conditionalFormatting sqref="AX5:AX18">
    <cfRule type="cellIs" priority="9" operator="greaterThan" aboveAverage="0" equalAverage="0" bottom="0" percent="0" rank="0" text="" dxfId="21">
      <formula>0.08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3261E"/>
    <pageSetUpPr fitToPage="false"/>
  </sheetPr>
  <dimension ref="A1:M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4" min="3" style="0" width="12"/>
    <col collapsed="false" customWidth="true" hidden="false" outlineLevel="0" max="5" min="5" style="0" width="8"/>
    <col collapsed="false" customWidth="true" hidden="false" outlineLevel="0" max="7" min="6" style="0" width="10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1" min="10" style="0" width="10"/>
    <col collapsed="false" customWidth="true" hidden="false" outlineLevel="0" max="12" min="12" style="0" width="46"/>
    <col collapsed="false" customWidth="true" hidden="false" outlineLevel="0" max="13" min="13" style="0" width="8"/>
  </cols>
  <sheetData>
    <row r="1" customFormat="false" ht="30" hidden="false" customHeight="true" outlineLevel="0" collapsed="false">
      <c r="A1" s="1" t="s">
        <v>95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7.75" hidden="false" customHeight="true" outlineLevel="0" collapsed="false">
      <c r="A2" s="2" t="s">
        <v>96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30" hidden="false" customHeight="true" outlineLevel="0" collapsed="false">
      <c r="A4" s="6" t="s">
        <v>97</v>
      </c>
      <c r="B4" s="6" t="s">
        <v>4</v>
      </c>
      <c r="C4" s="6" t="s">
        <v>5</v>
      </c>
      <c r="D4" s="6" t="s">
        <v>6</v>
      </c>
      <c r="E4" s="6" t="s">
        <v>7</v>
      </c>
      <c r="F4" s="6" t="s">
        <v>98</v>
      </c>
      <c r="G4" s="6" t="s">
        <v>99</v>
      </c>
      <c r="H4" s="6" t="s">
        <v>44</v>
      </c>
      <c r="I4" s="6" t="s">
        <v>11</v>
      </c>
      <c r="J4" s="6" t="s">
        <v>45</v>
      </c>
      <c r="K4" s="6" t="s">
        <v>12</v>
      </c>
      <c r="L4" s="6" t="s">
        <v>46</v>
      </c>
      <c r="M4" s="6" t="s">
        <v>100</v>
      </c>
    </row>
    <row r="5" customFormat="false" ht="25.5" hidden="false" customHeight="true" outlineLevel="0" collapsed="false">
      <c r="A5" s="33" t="s">
        <v>101</v>
      </c>
      <c r="B5" s="3" t="s">
        <v>30</v>
      </c>
      <c r="C5" s="12" t="n">
        <f aca="false">IFERROR(INDEX(每日经营日报!$BE$5:$BE$18,MATCH(店长看板!$B$3,每日经营日报!$A$5:$A$18,0)),0)</f>
        <v>4.1375</v>
      </c>
      <c r="D5" s="12" t="n">
        <f aca="false">INDEX(目标与口径!$F$5:$F$36,MATCH("delivery_rating",目标与口径!$A$5:$A$36,0))</f>
        <v>4.8</v>
      </c>
      <c r="E5" s="8" t="str">
        <f aca="false">IFERROR(IF(INDEX(目标与口径!$E$5:$E$36,MATCH("delivery_rating",目标与口径!$A$5:$A$36,0))="越高越好",IF($C$5&gt;=INDEX(目标与口径!$G$5:$G$36,MATCH("delivery_rating",目标与口径!$A$5:$A$36,0)),"绿",IF($C$5&gt;=INDEX(目标与口径!$H$5:$H$36,MATCH("delivery_rating",目标与口径!$A$5:$A$36,0)),"黄","红")),IF($C$5&lt;=INDEX(目标与口径!$G$5:$G$36,MATCH("delivery_rating",目标与口径!$A$5:$A$36,0)),"绿",IF($C$5&lt;=INDEX(目标与口径!$H$5:$H$36,MATCH("delivery_rating",目标与口径!$A$5:$A$36,0)),"黄","红"))),"—")</f>
        <v>红</v>
      </c>
      <c r="F5" s="9" t="n">
        <f aca="false">INDEX(目标与口径!$L$5:$L$36,MATCH("delivery_rating",目标与口径!$A$5:$A$36,0))</f>
        <v>0.7</v>
      </c>
      <c r="G5" s="9" t="n">
        <f aca="false">INDEX(目标与口径!$M$5:$M$36,MATCH("delivery_rating",目标与口径!$A$5:$A$36,0))</f>
        <v>0.55</v>
      </c>
      <c r="H5" s="34" t="str">
        <f aca="false">IF($F$5&gt;=0.7,IF($G$5&gt;=0.7,"Q1 今天就做","Q2 上报求援"),IF($G$5&gt;=0.7,"Q3 顺手做掉","Q4 记录观察"))</f>
        <v>Q2 上报求援</v>
      </c>
      <c r="I5" s="10" t="str">
        <f aca="false">INDEX(目标与口径!$J$5:$J$36,MATCH("delivery_rating",目标与口径!$A$5:$A$36,0))</f>
        <v>店长</v>
      </c>
      <c r="J5" s="35" t="n">
        <f aca="false">IFERROR(ROUND(IFERROR(MAX(0,IF(INDEX(目标与口径!$E$5:$E$36,MATCH("delivery_rating",目标与口径!$A$5:$A$36,0))="越高越好",INDEX(目标与口径!$G$5:$G$36,MATCH("delivery_rating",目标与口径!$A$5:$A$36,0))-$C$5,$C$5-INDEX(目标与口径!$G$5:$G$36,MATCH("delivery_rating",目标与口径!$A$5:$A$36,0)))/ABS(INDEX(目标与口径!$H$5:$H$36,MATCH("delivery_rating",目标与口径!$A$5:$A$36,0))-INDEX(目标与口径!$G$5:$G$36,MATCH("delivery_rating",目标与口径!$A$5:$A$36,0)))),0)*$F$5*$G$5*IF($E$5="红",2,1),2),0)</f>
        <v>2.17</v>
      </c>
      <c r="K5" s="10" t="str">
        <f aca="false">INDEX(目标与口径!$N$5:$N$36,MATCH("delivery_rating",目标与口径!$A$5:$A$36,0))</f>
        <v>PB-03</v>
      </c>
      <c r="L5" s="19" t="s">
        <v>102</v>
      </c>
      <c r="M5" s="14" t="n">
        <f aca="false">RANK($J$5,$J$5:$J$36,0)</f>
        <v>1</v>
      </c>
    </row>
    <row r="6" customFormat="false" ht="25.5" hidden="false" customHeight="true" outlineLevel="0" collapsed="false">
      <c r="A6" s="36" t="s">
        <v>103</v>
      </c>
      <c r="B6" s="37" t="s">
        <v>21</v>
      </c>
      <c r="C6" s="7" t="n">
        <f aca="false">IFERROR(INDEX(每日经营日报!$AI$5:$AI$18,MATCH(店长看板!$B$3,每日经营日报!$A$5:$A$18,0)),0)</f>
        <v>0.765984654731458</v>
      </c>
      <c r="D6" s="7" t="n">
        <f aca="false">INDEX(目标与口径!$F$5:$F$36,MATCH("speed_hit_rate",目标与口径!$A$5:$A$36,0))</f>
        <v>0.9</v>
      </c>
      <c r="E6" s="8" t="str">
        <f aca="false">IFERROR(IF(INDEX(目标与口径!$E$5:$E$36,MATCH("speed_hit_rate",目标与口径!$A$5:$A$36,0))="越高越好",IF($C$6&gt;=INDEX(目标与口径!$G$5:$G$36,MATCH("speed_hit_rate",目标与口径!$A$5:$A$36,0)),"绿",IF($C$6&gt;=INDEX(目标与口径!$H$5:$H$36,MATCH("speed_hit_rate",目标与口径!$A$5:$A$36,0)),"黄","红")),IF($C$6&lt;=INDEX(目标与口径!$G$5:$G$36,MATCH("speed_hit_rate",目标与口径!$A$5:$A$36,0)),"绿",IF($C$6&lt;=INDEX(目标与口径!$H$5:$H$36,MATCH("speed_hit_rate",目标与口径!$A$5:$A$36,0)),"黄","红"))),"—")</f>
        <v>红</v>
      </c>
      <c r="F6" s="38" t="n">
        <f aca="false">INDEX(目标与口径!$L$5:$L$36,MATCH("speed_hit_rate",目标与口径!$A$5:$A$36,0))</f>
        <v>0.85</v>
      </c>
      <c r="G6" s="38" t="n">
        <f aca="false">INDEX(目标与口径!$M$5:$M$36,MATCH("speed_hit_rate",目标与口径!$A$5:$A$36,0))</f>
        <v>0.85</v>
      </c>
      <c r="H6" s="39" t="str">
        <f aca="false">IF($F$6&gt;=0.7,IF($G$6&gt;=0.7,"Q1 今天就做","Q2 上报求援"),IF($G$6&gt;=0.7,"Q3 顺手做掉","Q4 记录观察"))</f>
        <v>Q1 今天就做</v>
      </c>
      <c r="I6" s="40" t="str">
        <f aca="false">INDEX(目标与口径!$J$5:$J$36,MATCH("speed_hit_rate",目标与口径!$A$5:$A$36,0))</f>
        <v>值班经理</v>
      </c>
      <c r="J6" s="35" t="n">
        <f aca="false">IFERROR(ROUND(IFERROR(MAX(0,IF(INDEX(目标与口径!$E$5:$E$36,MATCH("speed_hit_rate",目标与口径!$A$5:$A$36,0))="越高越好",INDEX(目标与口径!$G$5:$G$36,MATCH("speed_hit_rate",目标与口径!$A$5:$A$36,0))-$C$6,$C$6-INDEX(目标与口径!$G$5:$G$36,MATCH("speed_hit_rate",目标与口径!$A$5:$A$36,0)))/ABS(INDEX(目标与口径!$H$5:$H$36,MATCH("speed_hit_rate",目标与口径!$A$5:$A$36,0))-INDEX(目标与口径!$G$5:$G$36,MATCH("speed_hit_rate",目标与口径!$A$5:$A$36,0)))),0)*$F$6*$G$6*IF($E$6="红",2,1),2),0)</f>
        <v>2.06</v>
      </c>
      <c r="K6" s="40" t="str">
        <f aca="false">INDEX(目标与口径!$N$5:$N$36,MATCH("speed_hit_rate",目标与口径!$A$5:$A$36,0))</f>
        <v>PB-04</v>
      </c>
      <c r="L6" s="41" t="s">
        <v>104</v>
      </c>
      <c r="M6" s="42" t="n">
        <f aca="false">RANK($J$6,$J$5:$J$36,0)</f>
        <v>2</v>
      </c>
    </row>
    <row r="7" customFormat="false" ht="25.5" hidden="false" customHeight="true" outlineLevel="0" collapsed="false">
      <c r="A7" s="33" t="s">
        <v>105</v>
      </c>
      <c r="B7" s="3" t="s">
        <v>28</v>
      </c>
      <c r="C7" s="7" t="n">
        <f aca="false">IFERROR(INDEX(每日经营日报!$AX$5:$AX$18,MATCH(店长看板!$B$3,每日经营日报!$A$5:$A$18,0)),0)</f>
        <v>0.105263157894737</v>
      </c>
      <c r="D7" s="7" t="n">
        <f aca="false">INDEX(目标与口径!$F$5:$F$36,MATCH("late_rate",目标与口径!$A$5:$A$36,0))</f>
        <v>0.02</v>
      </c>
      <c r="E7" s="8" t="str">
        <f aca="false">IFERROR(IF(INDEX(目标与口径!$E$5:$E$36,MATCH("late_rate",目标与口径!$A$5:$A$36,0))="越高越好",IF($C$7&gt;=INDEX(目标与口径!$G$5:$G$36,MATCH("late_rate",目标与口径!$A$5:$A$36,0)),"绿",IF($C$7&gt;=INDEX(目标与口径!$H$5:$H$36,MATCH("late_rate",目标与口径!$A$5:$A$36,0)),"黄","红")),IF($C$7&lt;=INDEX(目标与口径!$G$5:$G$36,MATCH("late_rate",目标与口径!$A$5:$A$36,0)),"绿",IF($C$7&lt;=INDEX(目标与口径!$H$5:$H$36,MATCH("late_rate",目标与口径!$A$5:$A$36,0)),"黄","红"))),"—")</f>
        <v>红</v>
      </c>
      <c r="F7" s="9" t="n">
        <f aca="false">INDEX(目标与口径!$L$5:$L$36,MATCH("late_rate",目标与口径!$A$5:$A$36,0))</f>
        <v>0.4</v>
      </c>
      <c r="G7" s="9" t="n">
        <f aca="false">INDEX(目标与口径!$M$5:$M$36,MATCH("late_rate",目标与口径!$A$5:$A$36,0))</f>
        <v>0.85</v>
      </c>
      <c r="H7" s="34" t="str">
        <f aca="false">IF($F$7&gt;=0.7,IF($G$7&gt;=0.7,"Q1 今天就做","Q2 上报求援"),IF($G$7&gt;=0.7,"Q3 顺手做掉","Q4 记录观察"))</f>
        <v>Q3 顺手做掉</v>
      </c>
      <c r="I7" s="10" t="str">
        <f aca="false">INDEX(目标与口径!$J$5:$J$36,MATCH("late_rate",目标与口径!$A$5:$A$36,0))</f>
        <v>组长</v>
      </c>
      <c r="J7" s="35" t="n">
        <f aca="false">IFERROR(ROUND(IFERROR(MAX(0,IF(INDEX(目标与口径!$E$5:$E$36,MATCH("late_rate",目标与口径!$A$5:$A$36,0))="越高越好",INDEX(目标与口径!$G$5:$G$36,MATCH("late_rate",目标与口径!$A$5:$A$36,0))-$C$7,$C$7-INDEX(目标与口径!$G$5:$G$36,MATCH("late_rate",目标与口径!$A$5:$A$36,0)))/ABS(INDEX(目标与口径!$H$5:$H$36,MATCH("late_rate",目标与口径!$A$5:$A$36,0))-INDEX(目标与口径!$G$5:$G$36,MATCH("late_rate",目标与口径!$A$5:$A$36,0)))),0)*$F$7*$G$7*IF($E$7="红",2,1),2),0)</f>
        <v>1.02</v>
      </c>
      <c r="K7" s="10" t="str">
        <f aca="false">INDEX(目标与口径!$N$5:$N$36,MATCH("late_rate",目标与口径!$A$5:$A$36,0))</f>
        <v>PB-07</v>
      </c>
      <c r="L7" s="19" t="s">
        <v>106</v>
      </c>
      <c r="M7" s="14" t="n">
        <f aca="false">RANK($J$7,$J$5:$J$36,0)</f>
        <v>3</v>
      </c>
    </row>
    <row r="8" customFormat="false" ht="25.5" hidden="false" customHeight="true" outlineLevel="0" collapsed="false">
      <c r="A8" s="36" t="s">
        <v>107</v>
      </c>
      <c r="B8" s="37" t="s">
        <v>26</v>
      </c>
      <c r="C8" s="11" t="n">
        <f aca="false">IFERROR(INDEX(每日经营日报!$AS$5:$AS$18,MATCH(店长看板!$B$3,每日经营日报!$A$5:$A$18,0)),0)</f>
        <v>76</v>
      </c>
      <c r="D8" s="11" t="n">
        <f aca="false">INDEX(目标与口径!$F$5:$F$36,MATCH("equipment_downtime",目标与口径!$A$5:$A$36,0))</f>
        <v>0</v>
      </c>
      <c r="E8" s="8" t="str">
        <f aca="false">IFERROR(IF(INDEX(目标与口径!$E$5:$E$36,MATCH("equipment_downtime",目标与口径!$A$5:$A$36,0))="越高越好",IF($C$8&gt;=INDEX(目标与口径!$G$5:$G$36,MATCH("equipment_downtime",目标与口径!$A$5:$A$36,0)),"绿",IF($C$8&gt;=INDEX(目标与口径!$H$5:$H$36,MATCH("equipment_downtime",目标与口径!$A$5:$A$36,0)),"黄","红")),IF($C$8&lt;=INDEX(目标与口径!$G$5:$G$36,MATCH("equipment_downtime",目标与口径!$A$5:$A$36,0)),"绿",IF($C$8&lt;=INDEX(目标与口径!$H$5:$H$36,MATCH("equipment_downtime",目标与口径!$A$5:$A$36,0)),"黄","红"))),"—")</f>
        <v>红</v>
      </c>
      <c r="F8" s="38" t="n">
        <f aca="false">INDEX(目标与口径!$L$5:$L$36,MATCH("equipment_downtime",目标与口径!$A$5:$A$36,0))</f>
        <v>0.7</v>
      </c>
      <c r="G8" s="38" t="n">
        <f aca="false">INDEX(目标与口径!$M$5:$M$36,MATCH("equipment_downtime",目标与口径!$A$5:$A$36,0))</f>
        <v>0.5</v>
      </c>
      <c r="H8" s="39" t="str">
        <f aca="false">IF($F$8&gt;=0.7,IF($G$8&gt;=0.7,"Q1 今天就做","Q2 上报求援"),IF($G$8&gt;=0.7,"Q3 顺手做掉","Q4 记录观察"))</f>
        <v>Q2 上报求援</v>
      </c>
      <c r="I8" s="40" t="str">
        <f aca="false">INDEX(目标与口径!$J$5:$J$36,MATCH("equipment_downtime",目标与口径!$A$5:$A$36,0))</f>
        <v>店长</v>
      </c>
      <c r="J8" s="35" t="n">
        <f aca="false">IFERROR(ROUND(IFERROR(MAX(0,IF(INDEX(目标与口径!$E$5:$E$36,MATCH("equipment_downtime",目标与口径!$A$5:$A$36,0))="越高越好",INDEX(目标与口径!$G$5:$G$36,MATCH("equipment_downtime",目标与口径!$A$5:$A$36,0))-$C$8,$C$8-INDEX(目标与口径!$G$5:$G$36,MATCH("equipment_downtime",目标与口径!$A$5:$A$36,0)))/ABS(INDEX(目标与口径!$H$5:$H$36,MATCH("equipment_downtime",目标与口径!$A$5:$A$36,0))-INDEX(目标与口径!$G$5:$G$36,MATCH("equipment_downtime",目标与口径!$A$5:$A$36,0)))),0)*$F$8*$G$8*IF($E$8="红",2,1),2),0)</f>
        <v>0.95</v>
      </c>
      <c r="K8" s="40" t="str">
        <f aca="false">INDEX(目标与口径!$N$5:$N$36,MATCH("equipment_downtime",目标与口径!$A$5:$A$36,0))</f>
        <v>PB-11</v>
      </c>
      <c r="L8" s="41" t="s">
        <v>108</v>
      </c>
      <c r="M8" s="42" t="n">
        <f aca="false">RANK($J$8,$J$5:$J$36,0)</f>
        <v>4</v>
      </c>
    </row>
    <row r="9" customFormat="false" ht="25.5" hidden="false" customHeight="true" outlineLevel="0" collapsed="false">
      <c r="A9" s="33" t="s">
        <v>109</v>
      </c>
      <c r="B9" s="3" t="s">
        <v>70</v>
      </c>
      <c r="C9" s="7" t="n">
        <f aca="false">IFERROR(INDEX(每日经营日报!$AB$5:$AB$18,MATCH(店长看板!$B$3,每日经营日报!$A$5:$A$18,0)),0)</f>
        <v>0.0512371566366115</v>
      </c>
      <c r="D9" s="7" t="n">
        <f aca="false">INDEX(目标与口径!$F$5:$F$36,MATCH("labor_schedule_variance",目标与口径!$A$5:$A$36,0))</f>
        <v>0.02</v>
      </c>
      <c r="E9" s="8" t="str">
        <f aca="false">IFERROR(IF(INDEX(目标与口径!$E$5:$E$36,MATCH("labor_schedule_variance",目标与口径!$A$5:$A$36,0))="越高越好",IF($C$9&gt;=INDEX(目标与口径!$G$5:$G$36,MATCH("labor_schedule_variance",目标与口径!$A$5:$A$36,0)),"绿",IF($C$9&gt;=INDEX(目标与口径!$H$5:$H$36,MATCH("labor_schedule_variance",目标与口径!$A$5:$A$36,0)),"黄","红")),IF($C$9&lt;=INDEX(目标与口径!$G$5:$G$36,MATCH("labor_schedule_variance",目标与口径!$A$5:$A$36,0)),"绿",IF($C$9&lt;=INDEX(目标与口径!$H$5:$H$36,MATCH("labor_schedule_variance",目标与口径!$A$5:$A$36,0)),"黄","红"))),"—")</f>
        <v>黄</v>
      </c>
      <c r="F9" s="9" t="n">
        <f aca="false">INDEX(目标与口径!$L$5:$L$36,MATCH("labor_schedule_variance",目标与口径!$A$5:$A$36,0))</f>
        <v>0.6</v>
      </c>
      <c r="G9" s="9" t="n">
        <f aca="false">INDEX(目标与口径!$M$5:$M$36,MATCH("labor_schedule_variance",目标与口径!$A$5:$A$36,0))</f>
        <v>0.95</v>
      </c>
      <c r="H9" s="34" t="str">
        <f aca="false">IF($F$9&gt;=0.7,IF($G$9&gt;=0.7,"Q1 今天就做","Q2 上报求援"),IF($G$9&gt;=0.7,"Q3 顺手做掉","Q4 记录观察"))</f>
        <v>Q3 顺手做掉</v>
      </c>
      <c r="I9" s="10" t="str">
        <f aca="false">INDEX(目标与口径!$J$5:$J$36,MATCH("labor_schedule_variance",目标与口径!$A$5:$A$36,0))</f>
        <v>值班经理</v>
      </c>
      <c r="J9" s="35" t="n">
        <f aca="false">IFERROR(ROUND(IFERROR(MAX(0,IF(INDEX(目标与口径!$E$5:$E$36,MATCH("labor_schedule_variance",目标与口径!$A$5:$A$36,0))="越高越好",INDEX(目标与口径!$G$5:$G$36,MATCH("labor_schedule_variance",目标与口径!$A$5:$A$36,0))-$C$9,$C$9-INDEX(目标与口径!$G$5:$G$36,MATCH("labor_schedule_variance",目标与口径!$A$5:$A$36,0)))/ABS(INDEX(目标与口径!$H$5:$H$36,MATCH("labor_schedule_variance",目标与口径!$A$5:$A$36,0))-INDEX(目标与口径!$G$5:$G$36,MATCH("labor_schedule_variance",目标与口径!$A$5:$A$36,0)))),0)*$F$9*$G$9*IF($E$9="红",2,1),2),0)</f>
        <v>0.4</v>
      </c>
      <c r="K9" s="10" t="str">
        <f aca="false">INDEX(目标与口径!$N$5:$N$36,MATCH("labor_schedule_variance",目标与口径!$A$5:$A$36,0))</f>
        <v>PB-07</v>
      </c>
      <c r="L9" s="19" t="s">
        <v>106</v>
      </c>
      <c r="M9" s="14" t="n">
        <f aca="false">RANK($J$9,$J$5:$J$36,0)</f>
        <v>5</v>
      </c>
    </row>
    <row r="10" customFormat="false" ht="25.5" hidden="false" customHeight="true" outlineLevel="0" collapsed="false">
      <c r="A10" s="36" t="s">
        <v>110</v>
      </c>
      <c r="B10" s="37" t="s">
        <v>60</v>
      </c>
      <c r="C10" s="7" t="n">
        <f aca="false">IFERROR(INDEX(每日经营日报!$O$5:$O$18,MATCH(店长看板!$B$3,每日经营日报!$A$5:$A$18,0)),0)</f>
        <v>0.245283018867925</v>
      </c>
      <c r="D10" s="7" t="n">
        <f aca="false">INDEX(目标与口径!$F$5:$F$36,MATCH("upsell_rate",目标与口径!$A$5:$A$36,0))</f>
        <v>0.3</v>
      </c>
      <c r="E10" s="8" t="str">
        <f aca="false">IFERROR(IF(INDEX(目标与口径!$E$5:$E$36,MATCH("upsell_rate",目标与口径!$A$5:$A$36,0))="越高越好",IF($C$10&gt;=INDEX(目标与口径!$G$5:$G$36,MATCH("upsell_rate",目标与口径!$A$5:$A$36,0)),"绿",IF($C$10&gt;=INDEX(目标与口径!$H$5:$H$36,MATCH("upsell_rate",目标与口径!$A$5:$A$36,0)),"黄","红")),IF($C$10&lt;=INDEX(目标与口径!$G$5:$G$36,MATCH("upsell_rate",目标与口径!$A$5:$A$36,0)),"绿",IF($C$10&lt;=INDEX(目标与口径!$H$5:$H$36,MATCH("upsell_rate",目标与口径!$A$5:$A$36,0)),"黄","红"))),"—")</f>
        <v>黄</v>
      </c>
      <c r="F10" s="38" t="n">
        <f aca="false">INDEX(目标与口径!$L$5:$L$36,MATCH("upsell_rate",目标与口径!$A$5:$A$36,0))</f>
        <v>0.55</v>
      </c>
      <c r="G10" s="38" t="n">
        <f aca="false">INDEX(目标与口径!$M$5:$M$36,MATCH("upsell_rate",目标与口径!$A$5:$A$36,0))</f>
        <v>0.9</v>
      </c>
      <c r="H10" s="39" t="str">
        <f aca="false">IF($F$10&gt;=0.7,IF($G$10&gt;=0.7,"Q1 今天就做","Q2 上报求援"),IF($G$10&gt;=0.7,"Q3 顺手做掉","Q4 记录观察"))</f>
        <v>Q3 顺手做掉</v>
      </c>
      <c r="I10" s="40" t="str">
        <f aca="false">INDEX(目标与口径!$J$5:$J$36,MATCH("upsell_rate",目标与口径!$A$5:$A$36,0))</f>
        <v>组长</v>
      </c>
      <c r="J10" s="35" t="n">
        <f aca="false">IFERROR(ROUND(IFERROR(MAX(0,IF(INDEX(目标与口径!$E$5:$E$36,MATCH("upsell_rate",目标与口径!$A$5:$A$36,0))="越高越好",INDEX(目标与口径!$G$5:$G$36,MATCH("upsell_rate",目标与口径!$A$5:$A$36,0))-$C$10,$C$10-INDEX(目标与口径!$G$5:$G$36,MATCH("upsell_rate",目标与口径!$A$5:$A$36,0)))/ABS(INDEX(目标与口径!$H$5:$H$36,MATCH("upsell_rate",目标与口径!$A$5:$A$36,0))-INDEX(目标与口径!$G$5:$G$36,MATCH("upsell_rate",目标与口径!$A$5:$A$36,0)))),0)*$F$10*$G$10*IF($E$10="红",2,1),2),0)</f>
        <v>0.29</v>
      </c>
      <c r="K10" s="40" t="str">
        <f aca="false">INDEX(目标与口径!$N$5:$N$36,MATCH("upsell_rate",目标与口径!$A$5:$A$36,0))</f>
        <v>PB-02</v>
      </c>
      <c r="L10" s="41" t="s">
        <v>111</v>
      </c>
      <c r="M10" s="42" t="n">
        <f aca="false">RANK($J$10,$J$5:$J$36,0)</f>
        <v>6</v>
      </c>
    </row>
    <row r="11" customFormat="false" ht="25.5" hidden="false" customHeight="true" outlineLevel="0" collapsed="false">
      <c r="A11" s="33" t="s">
        <v>112</v>
      </c>
      <c r="B11" s="3" t="s">
        <v>81</v>
      </c>
      <c r="C11" s="7" t="n">
        <f aca="false">IFERROR(INDEX(每日经营日报!$AQ$5:$AQ$18,MATCH(店长看板!$B$3,每日经营日报!$A$5:$A$18,0)),0)</f>
        <v>0.0257623554153523</v>
      </c>
      <c r="D11" s="7" t="n">
        <f aca="false">INDEX(目标与口径!$F$5:$F$36,MATCH("holding_time_violation",目标与口径!$A$5:$A$36,0))</f>
        <v>0.01</v>
      </c>
      <c r="E11" s="8" t="str">
        <f aca="false">IFERROR(IF(INDEX(目标与口径!$E$5:$E$36,MATCH("holding_time_violation",目标与口径!$A$5:$A$36,0))="越高越好",IF($C$11&gt;=INDEX(目标与口径!$G$5:$G$36,MATCH("holding_time_violation",目标与口径!$A$5:$A$36,0)),"绿",IF($C$11&gt;=INDEX(目标与口径!$H$5:$H$36,MATCH("holding_time_violation",目标与口径!$A$5:$A$36,0)),"黄","红")),IF($C$11&lt;=INDEX(目标与口径!$G$5:$G$36,MATCH("holding_time_violation",目标与口径!$A$5:$A$36,0)),"绿",IF($C$11&lt;=INDEX(目标与口径!$H$5:$H$36,MATCH("holding_time_violation",目标与口径!$A$5:$A$36,0)),"黄","红"))),"—")</f>
        <v>黄</v>
      </c>
      <c r="F11" s="9" t="n">
        <f aca="false">INDEX(目标与口径!$L$5:$L$36,MATCH("holding_time_violation",目标与口径!$A$5:$A$36,0))</f>
        <v>0.7</v>
      </c>
      <c r="G11" s="9" t="n">
        <f aca="false">INDEX(目标与口径!$M$5:$M$36,MATCH("holding_time_violation",目标与口径!$A$5:$A$36,0))</f>
        <v>0.9</v>
      </c>
      <c r="H11" s="34" t="str">
        <f aca="false">IF($F$11&gt;=0.7,IF($G$11&gt;=0.7,"Q1 今天就做","Q2 上报求援"),IF($G$11&gt;=0.7,"Q3 顺手做掉","Q4 记录观察"))</f>
        <v>Q1 今天就做</v>
      </c>
      <c r="I11" s="10" t="str">
        <f aca="false">INDEX(目标与口径!$J$5:$J$36,MATCH("holding_time_violation",目标与口径!$A$5:$A$36,0))</f>
        <v>组长</v>
      </c>
      <c r="J11" s="35" t="n">
        <f aca="false">IFERROR(ROUND(IFERROR(MAX(0,IF(INDEX(目标与口径!$E$5:$E$36,MATCH("holding_time_violation",目标与口径!$A$5:$A$36,0))="越高越好",INDEX(目标与口径!$G$5:$G$36,MATCH("holding_time_violation",目标与口径!$A$5:$A$36,0))-$C$11,$C$11-INDEX(目标与口径!$G$5:$G$36,MATCH("holding_time_violation",目标与口径!$A$5:$A$36,0)))/ABS(INDEX(目标与口径!$H$5:$H$36,MATCH("holding_time_violation",目标与口径!$A$5:$A$36,0))-INDEX(目标与口径!$G$5:$G$36,MATCH("holding_time_violation",目标与口径!$A$5:$A$36,0)))),0)*$F$11*$G$11*IF($E$11="红",2,1),2),0)</f>
        <v>0.18</v>
      </c>
      <c r="K11" s="10" t="str">
        <f aca="false">INDEX(目标与口径!$N$5:$N$36,MATCH("holding_time_violation",目标与口径!$A$5:$A$36,0))</f>
        <v>PB-06</v>
      </c>
      <c r="L11" s="19" t="s">
        <v>113</v>
      </c>
      <c r="M11" s="14" t="n">
        <f aca="false">RANK($J$11,$J$5:$J$36,0)</f>
        <v>7</v>
      </c>
    </row>
    <row r="12" customFormat="false" ht="25.5" hidden="false" customHeight="true" outlineLevel="0" collapsed="false">
      <c r="A12" s="36" t="s">
        <v>114</v>
      </c>
      <c r="B12" s="37" t="s">
        <v>14</v>
      </c>
      <c r="C12" s="11" t="n">
        <f aca="false">IFERROR(INDEX(每日经营日报!$D$5:$D$18,MATCH(店长看板!$B$3,每日经营日报!$A$5:$A$18,0)),0)</f>
        <v>55987.74</v>
      </c>
      <c r="D12" s="11" t="n">
        <f aca="false">INDEX(目标与口径!$F$5:$F$36,MATCH("net_sales",目标与口径!$A$5:$A$36,0))</f>
        <v>62000</v>
      </c>
      <c r="E12" s="8" t="str">
        <f aca="false">IFERROR(IF(INDEX(目标与口径!$E$5:$E$36,MATCH("net_sales",目标与口径!$A$5:$A$36,0))="越高越好",IF($C$12&gt;=INDEX(目标与口径!$G$5:$G$36,MATCH("net_sales",目标与口径!$A$5:$A$36,0)),"绿",IF($C$12&gt;=INDEX(目标与口径!$H$5:$H$36,MATCH("net_sales",目标与口径!$A$5:$A$36,0)),"黄","红")),IF($C$12&lt;=INDEX(目标与口径!$G$5:$G$36,MATCH("net_sales",目标与口径!$A$5:$A$36,0)),"绿",IF($C$12&lt;=INDEX(目标与口径!$H$5:$H$36,MATCH("net_sales",目标与口径!$A$5:$A$36,0)),"黄","红"))),"—")</f>
        <v>黄</v>
      </c>
      <c r="F12" s="38" t="n">
        <f aca="false">INDEX(目标与口径!$L$5:$L$36,MATCH("net_sales",目标与口径!$A$5:$A$36,0))</f>
        <v>1</v>
      </c>
      <c r="G12" s="38" t="n">
        <f aca="false">INDEX(目标与口径!$M$5:$M$36,MATCH("net_sales",目标与口径!$A$5:$A$36,0))</f>
        <v>0.45</v>
      </c>
      <c r="H12" s="39" t="str">
        <f aca="false">IF($F$12&gt;=0.7,IF($G$12&gt;=0.7,"Q1 今天就做","Q2 上报求援"),IF($G$12&gt;=0.7,"Q3 顺手做掉","Q4 记录观察"))</f>
        <v>Q2 上报求援</v>
      </c>
      <c r="I12" s="40" t="str">
        <f aca="false">INDEX(目标与口径!$J$5:$J$36,MATCH("net_sales",目标与口径!$A$5:$A$36,0))</f>
        <v>店长</v>
      </c>
      <c r="J12" s="35" t="n">
        <f aca="false">IFERROR(ROUND(IFERROR(MAX(0,IF(INDEX(目标与口径!$E$5:$E$36,MATCH("net_sales",目标与口径!$A$5:$A$36,0))="越高越好",INDEX(目标与口径!$G$5:$G$36,MATCH("net_sales",目标与口径!$A$5:$A$36,0))-$C$12,$C$12-INDEX(目标与口径!$G$5:$G$36,MATCH("net_sales",目标与口径!$A$5:$A$36,0)))/ABS(INDEX(目标与口径!$H$5:$H$36,MATCH("net_sales",目标与口径!$A$5:$A$36,0))-INDEX(目标与口径!$G$5:$G$36,MATCH("net_sales",目标与口径!$A$5:$A$36,0)))),0)*$F$12*$G$12*IF($E$12="红",2,1),2),0)</f>
        <v>0.15</v>
      </c>
      <c r="K12" s="40" t="str">
        <f aca="false">INDEX(目标与口径!$N$5:$N$36,MATCH("net_sales",目标与口径!$A$5:$A$36,0))</f>
        <v>PB-01</v>
      </c>
      <c r="L12" s="41" t="s">
        <v>115</v>
      </c>
      <c r="M12" s="42" t="n">
        <f aca="false">RANK($J$12,$J$5:$J$36,0)</f>
        <v>8</v>
      </c>
    </row>
    <row r="13" customFormat="false" ht="25.5" hidden="false" customHeight="true" outlineLevel="0" collapsed="false">
      <c r="A13" s="33" t="s">
        <v>116</v>
      </c>
      <c r="B13" s="3" t="s">
        <v>18</v>
      </c>
      <c r="C13" s="7" t="n">
        <f aca="false">IFERROR(INDEX(每日经营日报!$S$5:$S$18,MATCH(店长看板!$B$3,每日经营日报!$A$5:$A$18,0)),0)</f>
        <v>0.0110115178787356</v>
      </c>
      <c r="D13" s="7" t="n">
        <f aca="false">INDEX(目标与口径!$F$5:$F$36,MATCH("waste_pct",目标与口径!$A$5:$A$36,0))</f>
        <v>0.008</v>
      </c>
      <c r="E13" s="8" t="str">
        <f aca="false">IFERROR(IF(INDEX(目标与口径!$E$5:$E$36,MATCH("waste_pct",目标与口径!$A$5:$A$36,0))="越高越好",IF($C$13&gt;=INDEX(目标与口径!$G$5:$G$36,MATCH("waste_pct",目标与口径!$A$5:$A$36,0)),"绿",IF($C$13&gt;=INDEX(目标与口径!$H$5:$H$36,MATCH("waste_pct",目标与口径!$A$5:$A$36,0)),"黄","红")),IF($C$13&lt;=INDEX(目标与口径!$G$5:$G$36,MATCH("waste_pct",目标与口径!$A$5:$A$36,0)),"绿",IF($C$13&lt;=INDEX(目标与口径!$H$5:$H$36,MATCH("waste_pct",目标与口径!$A$5:$A$36,0)),"黄","红"))),"—")</f>
        <v>黄</v>
      </c>
      <c r="F13" s="9" t="n">
        <f aca="false">INDEX(目标与口径!$L$5:$L$36,MATCH("waste_pct",目标与口径!$A$5:$A$36,0))</f>
        <v>0.8</v>
      </c>
      <c r="G13" s="9" t="n">
        <f aca="false">INDEX(目标与口径!$M$5:$M$36,MATCH("waste_pct",目标与口径!$A$5:$A$36,0))</f>
        <v>0.9</v>
      </c>
      <c r="H13" s="34" t="str">
        <f aca="false">IF($F$13&gt;=0.7,IF($G$13&gt;=0.7,"Q1 今天就做","Q2 上报求援"),IF($G$13&gt;=0.7,"Q3 顺手做掉","Q4 记录观察"))</f>
        <v>Q1 今天就做</v>
      </c>
      <c r="I13" s="10" t="str">
        <f aca="false">INDEX(目标与口径!$J$5:$J$36,MATCH("waste_pct",目标与口径!$A$5:$A$36,0))</f>
        <v>值班经理</v>
      </c>
      <c r="J13" s="35" t="n">
        <f aca="false">IFERROR(ROUND(IFERROR(MAX(0,IF(INDEX(目标与口径!$E$5:$E$36,MATCH("waste_pct",目标与口径!$A$5:$A$36,0))="越高越好",INDEX(目标与口径!$G$5:$G$36,MATCH("waste_pct",目标与口径!$A$5:$A$36,0))-$C$13,$C$13-INDEX(目标与口径!$G$5:$G$36,MATCH("waste_pct",目标与口径!$A$5:$A$36,0)))/ABS(INDEX(目标与口径!$H$5:$H$36,MATCH("waste_pct",目标与口径!$A$5:$A$36,0))-INDEX(目标与口径!$G$5:$G$36,MATCH("waste_pct",目标与口径!$A$5:$A$36,0)))),0)*$F$13*$G$13*IF($E$13="红",2,1),2),0)</f>
        <v>0.15</v>
      </c>
      <c r="K13" s="10" t="str">
        <f aca="false">INDEX(目标与口径!$N$5:$N$36,MATCH("waste_pct",目标与口径!$A$5:$A$36,0))</f>
        <v>PB-06</v>
      </c>
      <c r="L13" s="19" t="s">
        <v>113</v>
      </c>
      <c r="M13" s="14" t="n">
        <f aca="false">RANK($J$13,$J$5:$J$36,0)</f>
        <v>8</v>
      </c>
    </row>
    <row r="14" customFormat="false" ht="25.5" hidden="false" customHeight="true" outlineLevel="0" collapsed="false">
      <c r="A14" s="36" t="s">
        <v>117</v>
      </c>
      <c r="B14" s="37" t="s">
        <v>118</v>
      </c>
      <c r="C14" s="11" t="n">
        <f aca="false">IFERROR(INDEX(每日经营日报!$E$5:$E$18,MATCH(店长看板!$B$3,每日经营日报!$A$5:$A$18,0)),0)</f>
        <v>1564</v>
      </c>
      <c r="D14" s="11" t="n">
        <f aca="false">INDEX(目标与口径!$F$5:$F$36,MATCH("guest_count",目标与口径!$A$5:$A$36,0))</f>
        <v>1750</v>
      </c>
      <c r="E14" s="8" t="str">
        <f aca="false">IFERROR(IF(INDEX(目标与口径!$E$5:$E$36,MATCH("guest_count",目标与口径!$A$5:$A$36,0))="越高越好",IF($C$14&gt;=INDEX(目标与口径!$G$5:$G$36,MATCH("guest_count",目标与口径!$A$5:$A$36,0)),"绿",IF($C$14&gt;=INDEX(目标与口径!$H$5:$H$36,MATCH("guest_count",目标与口径!$A$5:$A$36,0)),"黄","红")),IF($C$14&lt;=INDEX(目标与口径!$G$5:$G$36,MATCH("guest_count",目标与口径!$A$5:$A$36,0)),"绿",IF($C$14&lt;=INDEX(目标与口径!$H$5:$H$36,MATCH("guest_count",目标与口径!$A$5:$A$36,0)),"黄","红"))),"—")</f>
        <v>黄</v>
      </c>
      <c r="F14" s="38" t="n">
        <f aca="false">INDEX(目标与口径!$L$5:$L$36,MATCH("guest_count",目标与口径!$A$5:$A$36,0))</f>
        <v>0.9</v>
      </c>
      <c r="G14" s="38" t="n">
        <f aca="false">INDEX(目标与口径!$M$5:$M$36,MATCH("guest_count",目标与口径!$A$5:$A$36,0))</f>
        <v>0.35</v>
      </c>
      <c r="H14" s="39" t="str">
        <f aca="false">IF($F$14&gt;=0.7,IF($G$14&gt;=0.7,"Q1 今天就做","Q2 上报求援"),IF($G$14&gt;=0.7,"Q3 顺手做掉","Q4 记录观察"))</f>
        <v>Q2 上报求援</v>
      </c>
      <c r="I14" s="40" t="str">
        <f aca="false">INDEX(目标与口径!$J$5:$J$36,MATCH("guest_count",目标与口径!$A$5:$A$36,0))</f>
        <v>店长</v>
      </c>
      <c r="J14" s="35" t="n">
        <f aca="false">IFERROR(ROUND(IFERROR(MAX(0,IF(INDEX(目标与口径!$E$5:$E$36,MATCH("guest_count",目标与口径!$A$5:$A$36,0))="越高越好",INDEX(目标与口径!$G$5:$G$36,MATCH("guest_count",目标与口径!$A$5:$A$36,0))-$C$14,$C$14-INDEX(目标与口径!$G$5:$G$36,MATCH("guest_count",目标与口径!$A$5:$A$36,0)))/ABS(INDEX(目标与口径!$H$5:$H$36,MATCH("guest_count",目标与口径!$A$5:$A$36,0))-INDEX(目标与口径!$G$5:$G$36,MATCH("guest_count",目标与口径!$A$5:$A$36,0)))),0)*$F$14*$G$14*IF($E$14="红",2,1),2),0)</f>
        <v>0.13</v>
      </c>
      <c r="K14" s="40" t="str">
        <f aca="false">INDEX(目标与口径!$N$5:$N$36,MATCH("guest_count",目标与口径!$A$5:$A$36,0))</f>
        <v>PB-01</v>
      </c>
      <c r="L14" s="41" t="s">
        <v>115</v>
      </c>
      <c r="M14" s="42" t="n">
        <f aca="false">RANK($J$14,$J$5:$J$36,0)</f>
        <v>10</v>
      </c>
    </row>
    <row r="15" customFormat="false" ht="25.5" hidden="false" customHeight="true" outlineLevel="0" collapsed="false">
      <c r="A15" s="33" t="s">
        <v>119</v>
      </c>
      <c r="B15" s="3" t="s">
        <v>74</v>
      </c>
      <c r="C15" s="11" t="n">
        <f aca="false">IFERROR(INDEX(每日经营日报!$AG$5:$AG$18,MATCH(店长看板!$B$3,每日经营日报!$A$5:$A$18,0)),0)</f>
        <v>416.28</v>
      </c>
      <c r="D15" s="11" t="n">
        <f aca="false">INDEX(目标与口径!$F$5:$F$36,MATCH("delivery_handover_time",目标与口径!$A$5:$A$36,0))</f>
        <v>360</v>
      </c>
      <c r="E15" s="8" t="str">
        <f aca="false">IFERROR(IF(INDEX(目标与口径!$E$5:$E$36,MATCH("delivery_handover_time",目标与口径!$A$5:$A$36,0))="越高越好",IF($C$15&gt;=INDEX(目标与口径!$G$5:$G$36,MATCH("delivery_handover_time",目标与口径!$A$5:$A$36,0)),"绿",IF($C$15&gt;=INDEX(目标与口径!$H$5:$H$36,MATCH("delivery_handover_time",目标与口径!$A$5:$A$36,0)),"黄","红")),IF($C$15&lt;=INDEX(目标与口径!$G$5:$G$36,MATCH("delivery_handover_time",目标与口径!$A$5:$A$36,0)),"绿",IF($C$15&lt;=INDEX(目标与口径!$H$5:$H$36,MATCH("delivery_handover_time",目标与口径!$A$5:$A$36,0)),"黄","红"))),"—")</f>
        <v>黄</v>
      </c>
      <c r="F15" s="9" t="n">
        <f aca="false">INDEX(目标与口径!$L$5:$L$36,MATCH("delivery_handover_time",目标与口径!$A$5:$A$36,0))</f>
        <v>0.6</v>
      </c>
      <c r="G15" s="9" t="n">
        <f aca="false">INDEX(目标与口径!$M$5:$M$36,MATCH("delivery_handover_time",目标与口径!$A$5:$A$36,0))</f>
        <v>0.7</v>
      </c>
      <c r="H15" s="34" t="str">
        <f aca="false">IF($F$15&gt;=0.7,IF($G$15&gt;=0.7,"Q1 今天就做","Q2 上报求援"),IF($G$15&gt;=0.7,"Q3 顺手做掉","Q4 记录观察"))</f>
        <v>Q3 顺手做掉</v>
      </c>
      <c r="I15" s="10" t="str">
        <f aca="false">INDEX(目标与口径!$J$5:$J$36,MATCH("delivery_handover_time",目标与口径!$A$5:$A$36,0))</f>
        <v>组长</v>
      </c>
      <c r="J15" s="35" t="n">
        <f aca="false">IFERROR(ROUND(IFERROR(MAX(0,IF(INDEX(目标与口径!$E$5:$E$36,MATCH("delivery_handover_time",目标与口径!$A$5:$A$36,0))="越高越好",INDEX(目标与口径!$G$5:$G$36,MATCH("delivery_handover_time",目标与口径!$A$5:$A$36,0))-$C$15,$C$15-INDEX(目标与口径!$G$5:$G$36,MATCH("delivery_handover_time",目标与口径!$A$5:$A$36,0)))/ABS(INDEX(目标与口径!$H$5:$H$36,MATCH("delivery_handover_time",目标与口径!$A$5:$A$36,0))-INDEX(目标与口径!$G$5:$G$36,MATCH("delivery_handover_time",目标与口径!$A$5:$A$36,0)))),0)*$F$15*$G$15*IF($E$15="红",2,1),2),0)</f>
        <v>0.09</v>
      </c>
      <c r="K15" s="10" t="str">
        <f aca="false">INDEX(目标与口径!$N$5:$N$36,MATCH("delivery_handover_time",目标与口径!$A$5:$A$36,0))</f>
        <v>PB-03</v>
      </c>
      <c r="L15" s="19" t="s">
        <v>102</v>
      </c>
      <c r="M15" s="14" t="n">
        <f aca="false">RANK($J$15,$J$5:$J$36,0)</f>
        <v>11</v>
      </c>
    </row>
    <row r="16" customFormat="false" ht="25.5" hidden="false" customHeight="true" outlineLevel="0" collapsed="false">
      <c r="A16" s="36" t="s">
        <v>120</v>
      </c>
      <c r="B16" s="37" t="s">
        <v>17</v>
      </c>
      <c r="C16" s="7" t="n">
        <f aca="false">IFERROR(INDEX(每日经营日报!$Q$5:$Q$18,MATCH(店长看板!$B$3,每日经营日报!$A$5:$A$18,0)),0)</f>
        <v>0.312193526654228</v>
      </c>
      <c r="D16" s="7" t="n">
        <f aca="false">INDEX(目标与口径!$F$5:$F$36,MATCH("food_cost_pct",目标与口径!$A$5:$A$36,0))</f>
        <v>0.305</v>
      </c>
      <c r="E16" s="8" t="str">
        <f aca="false">IFERROR(IF(INDEX(目标与口径!$E$5:$E$36,MATCH("food_cost_pct",目标与口径!$A$5:$A$36,0))="越高越好",IF($C$16&gt;=INDEX(目标与口径!$G$5:$G$36,MATCH("food_cost_pct",目标与口径!$A$5:$A$36,0)),"绿",IF($C$16&gt;=INDEX(目标与口径!$H$5:$H$36,MATCH("food_cost_pct",目标与口径!$A$5:$A$36,0)),"黄","红")),IF($C$16&lt;=INDEX(目标与口径!$G$5:$G$36,MATCH("food_cost_pct",目标与口径!$A$5:$A$36,0)),"绿",IF($C$16&lt;=INDEX(目标与口径!$H$5:$H$36,MATCH("food_cost_pct",目标与口径!$A$5:$A$36,0)),"黄","红"))),"—")</f>
        <v>黄</v>
      </c>
      <c r="F16" s="38" t="n">
        <f aca="false">INDEX(目标与口径!$L$5:$L$36,MATCH("food_cost_pct",目标与口径!$A$5:$A$36,0))</f>
        <v>0.95</v>
      </c>
      <c r="G16" s="38" t="n">
        <f aca="false">INDEX(目标与口径!$M$5:$M$36,MATCH("food_cost_pct",目标与口径!$A$5:$A$36,0))</f>
        <v>0.6</v>
      </c>
      <c r="H16" s="39" t="str">
        <f aca="false">IF($F$16&gt;=0.7,IF($G$16&gt;=0.7,"Q1 今天就做","Q2 上报求援"),IF($G$16&gt;=0.7,"Q3 顺手做掉","Q4 记录观察"))</f>
        <v>Q2 上报求援</v>
      </c>
      <c r="I16" s="40" t="str">
        <f aca="false">INDEX(目标与口径!$J$5:$J$36,MATCH("food_cost_pct",目标与口径!$A$5:$A$36,0))</f>
        <v>店长</v>
      </c>
      <c r="J16" s="35" t="n">
        <f aca="false">IFERROR(ROUND(IFERROR(MAX(0,IF(INDEX(目标与口径!$E$5:$E$36,MATCH("food_cost_pct",目标与口径!$A$5:$A$36,0))="越高越好",INDEX(目标与口径!$G$5:$G$36,MATCH("food_cost_pct",目标与口径!$A$5:$A$36,0))-$C$16,$C$16-INDEX(目标与口径!$G$5:$G$36,MATCH("food_cost_pct",目标与口径!$A$5:$A$36,0)))/ABS(INDEX(目标与口径!$H$5:$H$36,MATCH("food_cost_pct",目标与口径!$A$5:$A$36,0))-INDEX(目标与口径!$G$5:$G$36,MATCH("food_cost_pct",目标与口径!$A$5:$A$36,0)))),0)*$F$16*$G$16*IF($E$16="红",2,1),2),0)</f>
        <v>0.08</v>
      </c>
      <c r="K16" s="40" t="str">
        <f aca="false">INDEX(目标与口径!$N$5:$N$36,MATCH("food_cost_pct",目标与口径!$A$5:$A$36,0))</f>
        <v>PB-06</v>
      </c>
      <c r="L16" s="41" t="s">
        <v>113</v>
      </c>
      <c r="M16" s="42" t="n">
        <f aca="false">RANK($J$16,$J$5:$J$36,0)</f>
        <v>12</v>
      </c>
    </row>
    <row r="17" customFormat="false" ht="25.5" hidden="false" customHeight="true" outlineLevel="0" collapsed="false">
      <c r="A17" s="33" t="s">
        <v>121</v>
      </c>
      <c r="B17" s="3" t="s">
        <v>88</v>
      </c>
      <c r="C17" s="7" t="n">
        <f aca="false">IFERROR(INDEX(每日经营日报!$AZ$5:$AZ$18,MATCH(店长看板!$B$3,每日经营日报!$A$5:$A$18,0)),0)</f>
        <v>0.894736842105263</v>
      </c>
      <c r="D17" s="7" t="n">
        <f aca="false">INDEX(目标与口径!$F$5:$F$36,MATCH("station_certification",目标与口径!$A$5:$A$36,0))</f>
        <v>0.95</v>
      </c>
      <c r="E17" s="8" t="str">
        <f aca="false">IFERROR(IF(INDEX(目标与口径!$E$5:$E$36,MATCH("station_certification",目标与口径!$A$5:$A$36,0))="越高越好",IF($C$17&gt;=INDEX(目标与口径!$G$5:$G$36,MATCH("station_certification",目标与口径!$A$5:$A$36,0)),"绿",IF($C$17&gt;=INDEX(目标与口径!$H$5:$H$36,MATCH("station_certification",目标与口径!$A$5:$A$36,0)),"黄","红")),IF($C$17&lt;=INDEX(目标与口径!$G$5:$G$36,MATCH("station_certification",目标与口径!$A$5:$A$36,0)),"绿",IF($C$17&lt;=INDEX(目标与口径!$H$5:$H$36,MATCH("station_certification",目标与口径!$A$5:$A$36,0)),"黄","红"))),"—")</f>
        <v>黄</v>
      </c>
      <c r="F17" s="9" t="n">
        <f aca="false">INDEX(目标与口径!$L$5:$L$36,MATCH("station_certification",目标与口径!$A$5:$A$36,0))</f>
        <v>0.7</v>
      </c>
      <c r="G17" s="9" t="n">
        <f aca="false">INDEX(目标与口径!$M$5:$M$36,MATCH("station_certification",目标与口径!$A$5:$A$36,0))</f>
        <v>0.6</v>
      </c>
      <c r="H17" s="34" t="str">
        <f aca="false">IF($F$17&gt;=0.7,IF($G$17&gt;=0.7,"Q1 今天就做","Q2 上报求援"),IF($G$17&gt;=0.7,"Q3 顺手做掉","Q4 记录观察"))</f>
        <v>Q2 上报求援</v>
      </c>
      <c r="I17" s="10" t="str">
        <f aca="false">INDEX(目标与口径!$J$5:$J$36,MATCH("station_certification",目标与口径!$A$5:$A$36,0))</f>
        <v>训练员</v>
      </c>
      <c r="J17" s="35" t="n">
        <f aca="false">IFERROR(ROUND(IFERROR(MAX(0,IF(INDEX(目标与口径!$E$5:$E$36,MATCH("station_certification",目标与口径!$A$5:$A$36,0))="越高越好",INDEX(目标与口径!$G$5:$G$36,MATCH("station_certification",目标与口径!$A$5:$A$36,0))-$C$17,$C$17-INDEX(目标与口径!$G$5:$G$36,MATCH("station_certification",目标与口径!$A$5:$A$36,0)))/ABS(INDEX(目标与口径!$H$5:$H$36,MATCH("station_certification",目标与口径!$A$5:$A$36,0))-INDEX(目标与口径!$G$5:$G$36,MATCH("station_certification",目标与口径!$A$5:$A$36,0)))),0)*$F$17*$G$17*IF($E$17="红",2,1),2),0)</f>
        <v>0.02</v>
      </c>
      <c r="K17" s="10" t="str">
        <f aca="false">INDEX(目标与口径!$N$5:$N$36,MATCH("station_certification",目标与口径!$A$5:$A$36,0))</f>
        <v>PB-12</v>
      </c>
      <c r="L17" s="19" t="s">
        <v>122</v>
      </c>
      <c r="M17" s="14" t="n">
        <f aca="false">RANK($J$17,$J$5:$J$36,0)</f>
        <v>13</v>
      </c>
    </row>
    <row r="18" customFormat="false" ht="25.5" hidden="false" customHeight="true" outlineLevel="0" collapsed="false">
      <c r="A18" s="36" t="s">
        <v>123</v>
      </c>
      <c r="B18" s="37" t="s">
        <v>13</v>
      </c>
      <c r="C18" s="7" t="n">
        <f aca="false">IFERROR(INDEX(每日经营日报!$G$5:$G$18,MATCH(店长看板!$B$3,每日经营日报!$A$5:$A$18,0)),0)</f>
        <v>0.978684136740925</v>
      </c>
      <c r="D18" s="7" t="n">
        <f aca="false">INDEX(目标与口径!$F$5:$F$36,MATCH("sales_vs_forecast",目标与口径!$A$5:$A$36,0))</f>
        <v>1</v>
      </c>
      <c r="E18" s="8" t="str">
        <f aca="false">IFERROR(IF(INDEX(目标与口径!$E$5:$E$36,MATCH("sales_vs_forecast",目标与口径!$A$5:$A$36,0))="越高越好",IF($C$18&gt;=INDEX(目标与口径!$G$5:$G$36,MATCH("sales_vs_forecast",目标与口径!$A$5:$A$36,0)),"绿",IF($C$18&gt;=INDEX(目标与口径!$H$5:$H$36,MATCH("sales_vs_forecast",目标与口径!$A$5:$A$36,0)),"黄","红")),IF($C$18&lt;=INDEX(目标与口径!$G$5:$G$36,MATCH("sales_vs_forecast",目标与口径!$A$5:$A$36,0)),"绿",IF($C$18&lt;=INDEX(目标与口径!$H$5:$H$36,MATCH("sales_vs_forecast",目标与口径!$A$5:$A$36,0)),"黄","红"))),"—")</f>
        <v>黄</v>
      </c>
      <c r="F18" s="38" t="n">
        <f aca="false">INDEX(目标与口径!$L$5:$L$36,MATCH("sales_vs_forecast",目标与口径!$A$5:$A$36,0))</f>
        <v>0.95</v>
      </c>
      <c r="G18" s="38" t="n">
        <f aca="false">INDEX(目标与口径!$M$5:$M$36,MATCH("sales_vs_forecast",目标与口径!$A$5:$A$36,0))</f>
        <v>0.5</v>
      </c>
      <c r="H18" s="39" t="str">
        <f aca="false">IF($F$18&gt;=0.7,IF($G$18&gt;=0.7,"Q1 今天就做","Q2 上报求援"),IF($G$18&gt;=0.7,"Q3 顺手做掉","Q4 记录观察"))</f>
        <v>Q2 上报求援</v>
      </c>
      <c r="I18" s="40" t="str">
        <f aca="false">INDEX(目标与口径!$J$5:$J$36,MATCH("sales_vs_forecast",目标与口径!$A$5:$A$36,0))</f>
        <v>店长</v>
      </c>
      <c r="J18" s="35" t="n">
        <f aca="false">IFERROR(ROUND(IFERROR(MAX(0,IF(INDEX(目标与口径!$E$5:$E$36,MATCH("sales_vs_forecast",目标与口径!$A$5:$A$36,0))="越高越好",INDEX(目标与口径!$G$5:$G$36,MATCH("sales_vs_forecast",目标与口径!$A$5:$A$36,0))-$C$18,$C$18-INDEX(目标与口径!$G$5:$G$36,MATCH("sales_vs_forecast",目标与口径!$A$5:$A$36,0)))/ABS(INDEX(目标与口径!$H$5:$H$36,MATCH("sales_vs_forecast",目标与口径!$A$5:$A$36,0))-INDEX(目标与口径!$G$5:$G$36,MATCH("sales_vs_forecast",目标与口径!$A$5:$A$36,0)))),0)*$F$18*$G$18*IF($E$18="红",2,1),2),0)</f>
        <v>0.01</v>
      </c>
      <c r="K18" s="40" t="str">
        <f aca="false">INDEX(目标与口径!$N$5:$N$36,MATCH("sales_vs_forecast",目标与口径!$A$5:$A$36,0))</f>
        <v>PB-01</v>
      </c>
      <c r="L18" s="41" t="s">
        <v>115</v>
      </c>
      <c r="M18" s="42" t="n">
        <f aca="false">RANK($J$18,$J$5:$J$36,0)</f>
        <v>14</v>
      </c>
    </row>
    <row r="19" customFormat="false" ht="25.5" hidden="false" customHeight="true" outlineLevel="0" collapsed="false">
      <c r="A19" s="33" t="s">
        <v>124</v>
      </c>
      <c r="B19" s="3" t="s">
        <v>82</v>
      </c>
      <c r="C19" s="12" t="n">
        <f aca="false">IFERROR(INDEX(每日经营日报!$AR$5:$AR$18,MATCH(店长看板!$B$3,每日经营日报!$A$5:$A$18,0)),0)</f>
        <v>91.867</v>
      </c>
      <c r="D19" s="12" t="n">
        <f aca="false">INDEX(目标与口径!$F$5:$F$36,MATCH("cleanliness_score",目标与口径!$A$5:$A$36,0))</f>
        <v>95</v>
      </c>
      <c r="E19" s="8" t="str">
        <f aca="false">IFERROR(IF(INDEX(目标与口径!$E$5:$E$36,MATCH("cleanliness_score",目标与口径!$A$5:$A$36,0))="越高越好",IF($C$19&gt;=INDEX(目标与口径!$G$5:$G$36,MATCH("cleanliness_score",目标与口径!$A$5:$A$36,0)),"绿",IF($C$19&gt;=INDEX(目标与口径!$H$5:$H$36,MATCH("cleanliness_score",目标与口径!$A$5:$A$36,0)),"黄","红")),IF($C$19&lt;=INDEX(目标与口径!$G$5:$G$36,MATCH("cleanliness_score",目标与口径!$A$5:$A$36,0)),"绿",IF($C$19&lt;=INDEX(目标与口径!$H$5:$H$36,MATCH("cleanliness_score",目标与口径!$A$5:$A$36,0)),"黄","红"))),"—")</f>
        <v>黄</v>
      </c>
      <c r="F19" s="9" t="n">
        <f aca="false">INDEX(目标与口径!$L$5:$L$36,MATCH("cleanliness_score",目标与口径!$A$5:$A$36,0))</f>
        <v>0.65</v>
      </c>
      <c r="G19" s="9" t="n">
        <f aca="false">INDEX(目标与口径!$M$5:$M$36,MATCH("cleanliness_score",目标与口径!$A$5:$A$36,0))</f>
        <v>0.95</v>
      </c>
      <c r="H19" s="34" t="str">
        <f aca="false">IF($F$19&gt;=0.7,IF($G$19&gt;=0.7,"Q1 今天就做","Q2 上报求援"),IF($G$19&gt;=0.7,"Q3 顺手做掉","Q4 记录观察"))</f>
        <v>Q3 顺手做掉</v>
      </c>
      <c r="I19" s="10" t="str">
        <f aca="false">INDEX(目标与口径!$J$5:$J$36,MATCH("cleanliness_score",目标与口径!$A$5:$A$36,0))</f>
        <v>值班经理</v>
      </c>
      <c r="J19" s="35" t="n">
        <f aca="false">IFERROR(ROUND(IFERROR(MAX(0,IF(INDEX(目标与口径!$E$5:$E$36,MATCH("cleanliness_score",目标与口径!$A$5:$A$36,0))="越高越好",INDEX(目标与口径!$G$5:$G$36,MATCH("cleanliness_score",目标与口径!$A$5:$A$36,0))-$C$19,$C$19-INDEX(目标与口径!$G$5:$G$36,MATCH("cleanliness_score",目标与口径!$A$5:$A$36,0)))/ABS(INDEX(目标与口径!$H$5:$H$36,MATCH("cleanliness_score",目标与口径!$A$5:$A$36,0))-INDEX(目标与口径!$G$5:$G$36,MATCH("cleanliness_score",目标与口径!$A$5:$A$36,0)))),0)*$F$19*$G$19*IF($E$19="红",2,1),2),0)</f>
        <v>0.01</v>
      </c>
      <c r="K19" s="10" t="str">
        <f aca="false">INDEX(目标与口径!$N$5:$N$36,MATCH("cleanliness_score",目标与口径!$A$5:$A$36,0))</f>
        <v>PB-10</v>
      </c>
      <c r="L19" s="19" t="s">
        <v>125</v>
      </c>
      <c r="M19" s="14" t="n">
        <f aca="false">RANK($J$19,$J$5:$J$36,0)</f>
        <v>14</v>
      </c>
    </row>
    <row r="20" customFormat="false" ht="25.5" hidden="false" customHeight="true" outlineLevel="0" collapsed="false">
      <c r="A20" s="36" t="s">
        <v>126</v>
      </c>
      <c r="B20" s="37" t="s">
        <v>127</v>
      </c>
      <c r="C20" s="11" t="n">
        <f aca="false">IFERROR(INDEX(每日经营日报!$F$5:$F$18,MATCH(店长看板!$B$3,每日经营日报!$A$5:$A$18,0)),0)</f>
        <v>35.7977877237852</v>
      </c>
      <c r="D20" s="11" t="n">
        <f aca="false">INDEX(目标与口径!$F$5:$F$36,MATCH("avg_check",目标与口径!$A$5:$A$36,0))</f>
        <v>35.5</v>
      </c>
      <c r="E20" s="8" t="str">
        <f aca="false">IFERROR(IF(INDEX(目标与口径!$E$5:$E$36,MATCH("avg_check",目标与口径!$A$5:$A$36,0))="越高越好",IF($C$20&gt;=INDEX(目标与口径!$G$5:$G$36,MATCH("avg_check",目标与口径!$A$5:$A$36,0)),"绿",IF($C$20&gt;=INDEX(目标与口径!$H$5:$H$36,MATCH("avg_check",目标与口径!$A$5:$A$36,0)),"黄","红")),IF($C$20&lt;=INDEX(目标与口径!$G$5:$G$36,MATCH("avg_check",目标与口径!$A$5:$A$36,0)),"绿",IF($C$20&lt;=INDEX(目标与口径!$H$5:$H$36,MATCH("avg_check",目标与口径!$A$5:$A$36,0)),"黄","红"))),"—")</f>
        <v>绿</v>
      </c>
      <c r="F20" s="38" t="n">
        <f aca="false">INDEX(目标与口径!$L$5:$L$36,MATCH("avg_check",目标与口径!$A$5:$A$36,0))</f>
        <v>0.8</v>
      </c>
      <c r="G20" s="38" t="n">
        <f aca="false">INDEX(目标与口径!$M$5:$M$36,MATCH("avg_check",目标与口径!$A$5:$A$36,0))</f>
        <v>0.75</v>
      </c>
      <c r="H20" s="39" t="str">
        <f aca="false">IF($F$20&gt;=0.7,IF($G$20&gt;=0.7,"Q1 今天就做","Q2 上报求援"),IF($G$20&gt;=0.7,"Q3 顺手做掉","Q4 记录观察"))</f>
        <v>Q1 今天就做</v>
      </c>
      <c r="I20" s="40" t="str">
        <f aca="false">INDEX(目标与口径!$J$5:$J$36,MATCH("avg_check",目标与口径!$A$5:$A$36,0))</f>
        <v>值班经理</v>
      </c>
      <c r="J20" s="35" t="n">
        <f aca="false">IFERROR(ROUND(IFERROR(MAX(0,IF(INDEX(目标与口径!$E$5:$E$36,MATCH("avg_check",目标与口径!$A$5:$A$36,0))="越高越好",INDEX(目标与口径!$G$5:$G$36,MATCH("avg_check",目标与口径!$A$5:$A$36,0))-$C$20,$C$20-INDEX(目标与口径!$G$5:$G$36,MATCH("avg_check",目标与口径!$A$5:$A$36,0)))/ABS(INDEX(目标与口径!$H$5:$H$36,MATCH("avg_check",目标与口径!$A$5:$A$36,0))-INDEX(目标与口径!$G$5:$G$36,MATCH("avg_check",目标与口径!$A$5:$A$36,0)))),0)*$F$20*$G$20*IF($E$20="红",2,1),2),0)</f>
        <v>0</v>
      </c>
      <c r="K20" s="40" t="str">
        <f aca="false">INDEX(目标与口径!$N$5:$N$36,MATCH("avg_check",目标与口径!$A$5:$A$36,0))</f>
        <v>PB-02</v>
      </c>
      <c r="L20" s="41" t="s">
        <v>111</v>
      </c>
      <c r="M20" s="42" t="n">
        <f aca="false">RANK($J$20,$J$5:$J$36,0)</f>
        <v>16</v>
      </c>
    </row>
    <row r="21" customFormat="false" ht="25.5" hidden="false" customHeight="true" outlineLevel="0" collapsed="false">
      <c r="A21" s="33" t="s">
        <v>128</v>
      </c>
      <c r="B21" s="3" t="s">
        <v>129</v>
      </c>
      <c r="C21" s="7" t="n">
        <f aca="false">IFERROR(INDEX(每日经营日报!$L$5:$L$18,MATCH(店长看板!$B$3,每日经营日报!$A$5:$A$18,0)),0)</f>
        <v>0.266018953435163</v>
      </c>
      <c r="D21" s="7" t="n">
        <f aca="false">INDEX(目标与口径!$F$5:$F$36,MATCH("delivery_share",目标与口径!$A$5:$A$36,0))</f>
        <v>0.22</v>
      </c>
      <c r="E21" s="8" t="str">
        <f aca="false">IFERROR(IF(INDEX(目标与口径!$E$5:$E$36,MATCH("delivery_share",目标与口径!$A$5:$A$36,0))="越高越好",IF($C$21&gt;=INDEX(目标与口径!$G$5:$G$36,MATCH("delivery_share",目标与口径!$A$5:$A$36,0)),"绿",IF($C$21&gt;=INDEX(目标与口径!$H$5:$H$36,MATCH("delivery_share",目标与口径!$A$5:$A$36,0)),"黄","红")),IF($C$21&lt;=INDEX(目标与口径!$G$5:$G$36,MATCH("delivery_share",目标与口径!$A$5:$A$36,0)),"绿",IF($C$21&lt;=INDEX(目标与口径!$H$5:$H$36,MATCH("delivery_share",目标与口径!$A$5:$A$36,0)),"黄","红"))),"—")</f>
        <v>绿</v>
      </c>
      <c r="F21" s="9" t="n">
        <f aca="false">INDEX(目标与口径!$L$5:$L$36,MATCH("delivery_share",目标与口径!$A$5:$A$36,0))</f>
        <v>0.4</v>
      </c>
      <c r="G21" s="9" t="n">
        <f aca="false">INDEX(目标与口径!$M$5:$M$36,MATCH("delivery_share",目标与口径!$A$5:$A$36,0))</f>
        <v>0.2</v>
      </c>
      <c r="H21" s="34" t="str">
        <f aca="false">IF($F$21&gt;=0.7,IF($G$21&gt;=0.7,"Q1 今天就做","Q2 上报求援"),IF($G$21&gt;=0.7,"Q3 顺手做掉","Q4 记录观察"))</f>
        <v>Q4 记录观察</v>
      </c>
      <c r="I21" s="10" t="str">
        <f aca="false">INDEX(目标与口径!$J$5:$J$36,MATCH("delivery_share",目标与口径!$A$5:$A$36,0))</f>
        <v>店长</v>
      </c>
      <c r="J21" s="35" t="n">
        <f aca="false">IFERROR(ROUND(IFERROR(MAX(0,IF(INDEX(目标与口径!$E$5:$E$36,MATCH("delivery_share",目标与口径!$A$5:$A$36,0))="越高越好",INDEX(目标与口径!$G$5:$G$36,MATCH("delivery_share",目标与口径!$A$5:$A$36,0))-$C$21,$C$21-INDEX(目标与口径!$G$5:$G$36,MATCH("delivery_share",目标与口径!$A$5:$A$36,0)))/ABS(INDEX(目标与口径!$H$5:$H$36,MATCH("delivery_share",目标与口径!$A$5:$A$36,0))-INDEX(目标与口径!$G$5:$G$36,MATCH("delivery_share",目标与口径!$A$5:$A$36,0)))),0)*$F$21*$G$21*IF($E$21="红",2,1),2),0)</f>
        <v>0</v>
      </c>
      <c r="K21" s="10" t="str">
        <f aca="false">INDEX(目标与口径!$N$5:$N$36,MATCH("delivery_share",目标与口径!$A$5:$A$36,0))</f>
        <v>PB-03</v>
      </c>
      <c r="L21" s="19" t="s">
        <v>102</v>
      </c>
      <c r="M21" s="14" t="n">
        <f aca="false">RANK($J$21,$J$5:$J$36,0)</f>
        <v>16</v>
      </c>
    </row>
    <row r="22" customFormat="false" ht="25.5" hidden="false" customHeight="true" outlineLevel="0" collapsed="false">
      <c r="A22" s="36" t="s">
        <v>130</v>
      </c>
      <c r="B22" s="37" t="s">
        <v>54</v>
      </c>
      <c r="C22" s="26" t="n">
        <f aca="false">IFERROR(INDEX(每日经营日报!$I$5:$I$18,MATCH(店长看板!$B$3,每日经营日报!$A$5:$A$18,0)),0)</f>
        <v>3.33823529411765</v>
      </c>
      <c r="D22" s="26" t="n">
        <f aca="false">INDEX(目标与口径!$F$5:$F$36,MATCH("items_per_check",目标与口径!$A$5:$A$36,0))</f>
        <v>3.2</v>
      </c>
      <c r="E22" s="8" t="str">
        <f aca="false">IFERROR(IF(INDEX(目标与口径!$E$5:$E$36,MATCH("items_per_check",目标与口径!$A$5:$A$36,0))="越高越好",IF($C$22&gt;=INDEX(目标与口径!$G$5:$G$36,MATCH("items_per_check",目标与口径!$A$5:$A$36,0)),"绿",IF($C$22&gt;=INDEX(目标与口径!$H$5:$H$36,MATCH("items_per_check",目标与口径!$A$5:$A$36,0)),"黄","红")),IF($C$22&lt;=INDEX(目标与口径!$G$5:$G$36,MATCH("items_per_check",目标与口径!$A$5:$A$36,0)),"绿",IF($C$22&lt;=INDEX(目标与口径!$H$5:$H$36,MATCH("items_per_check",目标与口径!$A$5:$A$36,0)),"黄","红"))),"—")</f>
        <v>绿</v>
      </c>
      <c r="F22" s="38" t="n">
        <f aca="false">INDEX(目标与口径!$L$5:$L$36,MATCH("items_per_check",目标与口径!$A$5:$A$36,0))</f>
        <v>0.6</v>
      </c>
      <c r="G22" s="38" t="n">
        <f aca="false">INDEX(目标与口径!$M$5:$M$36,MATCH("items_per_check",目标与口径!$A$5:$A$36,0))</f>
        <v>0.8</v>
      </c>
      <c r="H22" s="39" t="str">
        <f aca="false">IF($F$22&gt;=0.7,IF($G$22&gt;=0.7,"Q1 今天就做","Q2 上报求援"),IF($G$22&gt;=0.7,"Q3 顺手做掉","Q4 记录观察"))</f>
        <v>Q3 顺手做掉</v>
      </c>
      <c r="I22" s="40" t="str">
        <f aca="false">INDEX(目标与口径!$J$5:$J$36,MATCH("items_per_check",目标与口径!$A$5:$A$36,0))</f>
        <v>值班经理</v>
      </c>
      <c r="J22" s="35" t="n">
        <f aca="false">IFERROR(ROUND(IFERROR(MAX(0,IF(INDEX(目标与口径!$E$5:$E$36,MATCH("items_per_check",目标与口径!$A$5:$A$36,0))="越高越好",INDEX(目标与口径!$G$5:$G$36,MATCH("items_per_check",目标与口径!$A$5:$A$36,0))-$C$22,$C$22-INDEX(目标与口径!$G$5:$G$36,MATCH("items_per_check",目标与口径!$A$5:$A$36,0)))/ABS(INDEX(目标与口径!$H$5:$H$36,MATCH("items_per_check",目标与口径!$A$5:$A$36,0))-INDEX(目标与口径!$G$5:$G$36,MATCH("items_per_check",目标与口径!$A$5:$A$36,0)))),0)*$F$22*$G$22*IF($E$22="红",2,1),2),0)</f>
        <v>0</v>
      </c>
      <c r="K22" s="40" t="str">
        <f aca="false">INDEX(目标与口径!$N$5:$N$36,MATCH("items_per_check",目标与口径!$A$5:$A$36,0))</f>
        <v>PB-02</v>
      </c>
      <c r="L22" s="41" t="s">
        <v>111</v>
      </c>
      <c r="M22" s="42" t="n">
        <f aca="false">RANK($J$22,$J$5:$J$36,0)</f>
        <v>16</v>
      </c>
    </row>
    <row r="23" customFormat="false" ht="25.5" hidden="false" customHeight="true" outlineLevel="0" collapsed="false">
      <c r="A23" s="33" t="s">
        <v>131</v>
      </c>
      <c r="B23" s="3" t="s">
        <v>22</v>
      </c>
      <c r="C23" s="11" t="n">
        <f aca="false">IFERROR(INDEX(每日经营日报!$AC$5:$AC$18,MATCH(店长看板!$B$3,每日经营日报!$A$5:$A$18,0)),0)</f>
        <v>158.34</v>
      </c>
      <c r="D23" s="11" t="n">
        <f aca="false">INDEX(目标与口径!$F$5:$F$36,MATCH("dt_total_time",目标与口径!$A$5:$A$36,0))</f>
        <v>180</v>
      </c>
      <c r="E23" s="8" t="str">
        <f aca="false">IFERROR(IF(INDEX(目标与口径!$E$5:$E$36,MATCH("dt_total_time",目标与口径!$A$5:$A$36,0))="越高越好",IF($C$23&gt;=INDEX(目标与口径!$G$5:$G$36,MATCH("dt_total_time",目标与口径!$A$5:$A$36,0)),"绿",IF($C$23&gt;=INDEX(目标与口径!$H$5:$H$36,MATCH("dt_total_time",目标与口径!$A$5:$A$36,0)),"黄","红")),IF($C$23&lt;=INDEX(目标与口径!$G$5:$G$36,MATCH("dt_total_time",目标与口径!$A$5:$A$36,0)),"绿",IF($C$23&lt;=INDEX(目标与口径!$H$5:$H$36,MATCH("dt_total_time",目标与口径!$A$5:$A$36,0)),"黄","红"))),"—")</f>
        <v>绿</v>
      </c>
      <c r="F23" s="9" t="n">
        <f aca="false">INDEX(目标与口径!$L$5:$L$36,MATCH("dt_total_time",目标与口径!$A$5:$A$36,0))</f>
        <v>0.9</v>
      </c>
      <c r="G23" s="9" t="n">
        <f aca="false">INDEX(目标与口径!$M$5:$M$36,MATCH("dt_total_time",目标与口径!$A$5:$A$36,0))</f>
        <v>0.85</v>
      </c>
      <c r="H23" s="34" t="str">
        <f aca="false">IF($F$23&gt;=0.7,IF($G$23&gt;=0.7,"Q1 今天就做","Q2 上报求援"),IF($G$23&gt;=0.7,"Q3 顺手做掉","Q4 记录观察"))</f>
        <v>Q1 今天就做</v>
      </c>
      <c r="I23" s="10" t="str">
        <f aca="false">INDEX(目标与口径!$J$5:$J$36,MATCH("dt_total_time",目标与口径!$A$5:$A$36,0))</f>
        <v>值班经理</v>
      </c>
      <c r="J23" s="35" t="n">
        <f aca="false">IFERROR(ROUND(IFERROR(MAX(0,IF(INDEX(目标与口径!$E$5:$E$36,MATCH("dt_total_time",目标与口径!$A$5:$A$36,0))="越高越好",INDEX(目标与口径!$G$5:$G$36,MATCH("dt_total_time",目标与口径!$A$5:$A$36,0))-$C$23,$C$23-INDEX(目标与口径!$G$5:$G$36,MATCH("dt_total_time",目标与口径!$A$5:$A$36,0)))/ABS(INDEX(目标与口径!$H$5:$H$36,MATCH("dt_total_time",目标与口径!$A$5:$A$36,0))-INDEX(目标与口径!$G$5:$G$36,MATCH("dt_total_time",目标与口径!$A$5:$A$36,0)))),0)*$F$23*$G$23*IF($E$23="红",2,1),2),0)</f>
        <v>0</v>
      </c>
      <c r="K23" s="10" t="str">
        <f aca="false">INDEX(目标与口径!$N$5:$N$36,MATCH("dt_total_time",目标与口径!$A$5:$A$36,0))</f>
        <v>PB-04</v>
      </c>
      <c r="L23" s="19" t="s">
        <v>104</v>
      </c>
      <c r="M23" s="14" t="n">
        <f aca="false">RANK($J$23,$J$5:$J$36,0)</f>
        <v>16</v>
      </c>
    </row>
    <row r="24" customFormat="false" ht="25.5" hidden="false" customHeight="true" outlineLevel="0" collapsed="false">
      <c r="A24" s="36" t="s">
        <v>132</v>
      </c>
      <c r="B24" s="37" t="s">
        <v>133</v>
      </c>
      <c r="C24" s="11" t="n">
        <f aca="false">IFERROR(INDEX(每日经营日报!$AD$5:$AD$18,MATCH(店长看板!$B$3,每日经营日报!$A$5:$A$18,0)),0)</f>
        <v>58.36</v>
      </c>
      <c r="D24" s="11" t="n">
        <f aca="false">INDEX(目标与口径!$F$5:$F$36,MATCH("dt_window_time",目标与口径!$A$5:$A$36,0))</f>
        <v>55</v>
      </c>
      <c r="E24" s="8" t="str">
        <f aca="false">IFERROR(IF(INDEX(目标与口径!$E$5:$E$36,MATCH("dt_window_time",目标与口径!$A$5:$A$36,0))="越高越好",IF($C$24&gt;=INDEX(目标与口径!$G$5:$G$36,MATCH("dt_window_time",目标与口径!$A$5:$A$36,0)),"绿",IF($C$24&gt;=INDEX(目标与口径!$H$5:$H$36,MATCH("dt_window_time",目标与口径!$A$5:$A$36,0)),"黄","红")),IF($C$24&lt;=INDEX(目标与口径!$G$5:$G$36,MATCH("dt_window_time",目标与口径!$A$5:$A$36,0)),"绿",IF($C$24&lt;=INDEX(目标与口径!$H$5:$H$36,MATCH("dt_window_time",目标与口径!$A$5:$A$36,0)),"黄","红"))),"—")</f>
        <v>绿</v>
      </c>
      <c r="F24" s="38" t="n">
        <f aca="false">INDEX(目标与口径!$L$5:$L$36,MATCH("dt_window_time",目标与口径!$A$5:$A$36,0))</f>
        <v>0.7</v>
      </c>
      <c r="G24" s="38" t="n">
        <f aca="false">INDEX(目标与口径!$M$5:$M$36,MATCH("dt_window_time",目标与口径!$A$5:$A$36,0))</f>
        <v>0.9</v>
      </c>
      <c r="H24" s="39" t="str">
        <f aca="false">IF($F$24&gt;=0.7,IF($G$24&gt;=0.7,"Q1 今天就做","Q2 上报求援"),IF($G$24&gt;=0.7,"Q3 顺手做掉","Q4 记录观察"))</f>
        <v>Q1 今天就做</v>
      </c>
      <c r="I24" s="40" t="str">
        <f aca="false">INDEX(目标与口径!$J$5:$J$36,MATCH("dt_window_time",目标与口径!$A$5:$A$36,0))</f>
        <v>值班经理</v>
      </c>
      <c r="J24" s="35" t="n">
        <f aca="false">IFERROR(ROUND(IFERROR(MAX(0,IF(INDEX(目标与口径!$E$5:$E$36,MATCH("dt_window_time",目标与口径!$A$5:$A$36,0))="越高越好",INDEX(目标与口径!$G$5:$G$36,MATCH("dt_window_time",目标与口径!$A$5:$A$36,0))-$C$24,$C$24-INDEX(目标与口径!$G$5:$G$36,MATCH("dt_window_time",目标与口径!$A$5:$A$36,0)))/ABS(INDEX(目标与口径!$H$5:$H$36,MATCH("dt_window_time",目标与口径!$A$5:$A$36,0))-INDEX(目标与口径!$G$5:$G$36,MATCH("dt_window_time",目标与口径!$A$5:$A$36,0)))),0)*$F$24*$G$24*IF($E$24="红",2,1),2),0)</f>
        <v>0</v>
      </c>
      <c r="K24" s="40" t="str">
        <f aca="false">INDEX(目标与口径!$N$5:$N$36,MATCH("dt_window_time",目标与口径!$A$5:$A$36,0))</f>
        <v>PB-04</v>
      </c>
      <c r="L24" s="41" t="s">
        <v>104</v>
      </c>
      <c r="M24" s="42" t="n">
        <f aca="false">RANK($J$24,$J$5:$J$36,0)</f>
        <v>16</v>
      </c>
    </row>
    <row r="25" customFormat="false" ht="25.5" hidden="false" customHeight="true" outlineLevel="0" collapsed="false">
      <c r="A25" s="33" t="s">
        <v>134</v>
      </c>
      <c r="B25" s="3" t="s">
        <v>135</v>
      </c>
      <c r="C25" s="11" t="n">
        <f aca="false">IFERROR(INDEX(每日经营日报!$AF$5:$AF$18,MATCH(店长看板!$B$3,每日经营日报!$A$5:$A$18,0)),0)</f>
        <v>129.08</v>
      </c>
      <c r="D25" s="11" t="n">
        <f aca="false">INDEX(目标与口径!$F$5:$F$36,MATCH("front_otd",目标与口径!$A$5:$A$36,0))</f>
        <v>150</v>
      </c>
      <c r="E25" s="8" t="str">
        <f aca="false">IFERROR(IF(INDEX(目标与口径!$E$5:$E$36,MATCH("front_otd",目标与口径!$A$5:$A$36,0))="越高越好",IF($C$25&gt;=INDEX(目标与口径!$G$5:$G$36,MATCH("front_otd",目标与口径!$A$5:$A$36,0)),"绿",IF($C$25&gt;=INDEX(目标与口径!$H$5:$H$36,MATCH("front_otd",目标与口径!$A$5:$A$36,0)),"黄","红")),IF($C$25&lt;=INDEX(目标与口径!$G$5:$G$36,MATCH("front_otd",目标与口径!$A$5:$A$36,0)),"绿",IF($C$25&lt;=INDEX(目标与口径!$H$5:$H$36,MATCH("front_otd",目标与口径!$A$5:$A$36,0)),"黄","红"))),"—")</f>
        <v>绿</v>
      </c>
      <c r="F25" s="9" t="n">
        <f aca="false">INDEX(目标与口径!$L$5:$L$36,MATCH("front_otd",目标与口径!$A$5:$A$36,0))</f>
        <v>0.7</v>
      </c>
      <c r="G25" s="9" t="n">
        <f aca="false">INDEX(目标与口径!$M$5:$M$36,MATCH("front_otd",目标与口径!$A$5:$A$36,0))</f>
        <v>0.85</v>
      </c>
      <c r="H25" s="34" t="str">
        <f aca="false">IF($F$25&gt;=0.7,IF($G$25&gt;=0.7,"Q1 今天就做","Q2 上报求援"),IF($G$25&gt;=0.7,"Q3 顺手做掉","Q4 记录观察"))</f>
        <v>Q1 今天就做</v>
      </c>
      <c r="I25" s="10" t="str">
        <f aca="false">INDEX(目标与口径!$J$5:$J$36,MATCH("front_otd",目标与口径!$A$5:$A$36,0))</f>
        <v>值班经理</v>
      </c>
      <c r="J25" s="35" t="n">
        <f aca="false">IFERROR(ROUND(IFERROR(MAX(0,IF(INDEX(目标与口径!$E$5:$E$36,MATCH("front_otd",目标与口径!$A$5:$A$36,0))="越高越好",INDEX(目标与口径!$G$5:$G$36,MATCH("front_otd",目标与口径!$A$5:$A$36,0))-$C$25,$C$25-INDEX(目标与口径!$G$5:$G$36,MATCH("front_otd",目标与口径!$A$5:$A$36,0)))/ABS(INDEX(目标与口径!$H$5:$H$36,MATCH("front_otd",目标与口径!$A$5:$A$36,0))-INDEX(目标与口径!$G$5:$G$36,MATCH("front_otd",目标与口径!$A$5:$A$36,0)))),0)*$F$25*$G$25*IF($E$25="红",2,1),2),0)</f>
        <v>0</v>
      </c>
      <c r="K25" s="10" t="str">
        <f aca="false">INDEX(目标与口径!$N$5:$N$36,MATCH("front_otd",目标与口径!$A$5:$A$36,0))</f>
        <v>PB-04</v>
      </c>
      <c r="L25" s="19" t="s">
        <v>104</v>
      </c>
      <c r="M25" s="14" t="n">
        <f aca="false">RANK($J$25,$J$5:$J$36,0)</f>
        <v>16</v>
      </c>
    </row>
    <row r="26" customFormat="false" ht="25.5" hidden="false" customHeight="true" outlineLevel="0" collapsed="false">
      <c r="A26" s="36" t="s">
        <v>136</v>
      </c>
      <c r="B26" s="37" t="s">
        <v>72</v>
      </c>
      <c r="C26" s="11" t="n">
        <f aca="false">IFERROR(INDEX(每日经营日报!$AE$5:$AE$18,MATCH(店长看板!$B$3,每日经营日报!$A$5:$A$18,0)),0)</f>
        <v>86.24</v>
      </c>
      <c r="D26" s="11" t="n">
        <f aca="false">INDEX(目标与口径!$F$5:$F$36,MATCH("kds_prep_time",目标与口径!$A$5:$A$36,0))</f>
        <v>90</v>
      </c>
      <c r="E26" s="8" t="str">
        <f aca="false">IFERROR(IF(INDEX(目标与口径!$E$5:$E$36,MATCH("kds_prep_time",目标与口径!$A$5:$A$36,0))="越高越好",IF($C$26&gt;=INDEX(目标与口径!$G$5:$G$36,MATCH("kds_prep_time",目标与口径!$A$5:$A$36,0)),"绿",IF($C$26&gt;=INDEX(目标与口径!$H$5:$H$36,MATCH("kds_prep_time",目标与口径!$A$5:$A$36,0)),"黄","红")),IF($C$26&lt;=INDEX(目标与口径!$G$5:$G$36,MATCH("kds_prep_time",目标与口径!$A$5:$A$36,0)),"绿",IF($C$26&lt;=INDEX(目标与口径!$H$5:$H$36,MATCH("kds_prep_time",目标与口径!$A$5:$A$36,0)),"黄","红"))),"—")</f>
        <v>绿</v>
      </c>
      <c r="F26" s="38" t="n">
        <f aca="false">INDEX(目标与口径!$L$5:$L$36,MATCH("kds_prep_time",目标与口径!$A$5:$A$36,0))</f>
        <v>0.75</v>
      </c>
      <c r="G26" s="38" t="n">
        <f aca="false">INDEX(目标与口径!$M$5:$M$36,MATCH("kds_prep_time",目标与口径!$A$5:$A$36,0))</f>
        <v>0.85</v>
      </c>
      <c r="H26" s="39" t="str">
        <f aca="false">IF($F$26&gt;=0.7,IF($G$26&gt;=0.7,"Q1 今天就做","Q2 上报求援"),IF($G$26&gt;=0.7,"Q3 顺手做掉","Q4 记录观察"))</f>
        <v>Q1 今天就做</v>
      </c>
      <c r="I26" s="40" t="str">
        <f aca="false">INDEX(目标与口径!$J$5:$J$36,MATCH("kds_prep_time",目标与口径!$A$5:$A$36,0))</f>
        <v>组长</v>
      </c>
      <c r="J26" s="35" t="n">
        <f aca="false">IFERROR(ROUND(IFERROR(MAX(0,IF(INDEX(目标与口径!$E$5:$E$36,MATCH("kds_prep_time",目标与口径!$A$5:$A$36,0))="越高越好",INDEX(目标与口径!$G$5:$G$36,MATCH("kds_prep_time",目标与口径!$A$5:$A$36,0))-$C$26,$C$26-INDEX(目标与口径!$G$5:$G$36,MATCH("kds_prep_time",目标与口径!$A$5:$A$36,0)))/ABS(INDEX(目标与口径!$H$5:$H$36,MATCH("kds_prep_time",目标与口径!$A$5:$A$36,0))-INDEX(目标与口径!$G$5:$G$36,MATCH("kds_prep_time",目标与口径!$A$5:$A$36,0)))),0)*$F$26*$G$26*IF($E$26="红",2,1),2),0)</f>
        <v>0</v>
      </c>
      <c r="K26" s="40" t="str">
        <f aca="false">INDEX(目标与口径!$N$5:$N$36,MATCH("kds_prep_time",目标与口径!$A$5:$A$36,0))</f>
        <v>PB-04</v>
      </c>
      <c r="L26" s="41" t="s">
        <v>104</v>
      </c>
      <c r="M26" s="42" t="n">
        <f aca="false">RANK($J$26,$J$5:$J$36,0)</f>
        <v>16</v>
      </c>
    </row>
    <row r="27" customFormat="false" ht="25.5" hidden="false" customHeight="true" outlineLevel="0" collapsed="false">
      <c r="A27" s="33" t="s">
        <v>137</v>
      </c>
      <c r="B27" s="3" t="s">
        <v>23</v>
      </c>
      <c r="C27" s="7" t="n">
        <f aca="false">IFERROR(INDEX(每日经营日报!$AK$5:$AK$18,MATCH(店长看板!$B$3,每日经营日报!$A$5:$A$18,0)),0)</f>
        <v>0.999360613810742</v>
      </c>
      <c r="D27" s="7" t="n">
        <f aca="false">INDEX(目标与口径!$F$5:$F$36,MATCH("order_accuracy",目标与口径!$A$5:$A$36,0))</f>
        <v>0.996</v>
      </c>
      <c r="E27" s="8" t="str">
        <f aca="false">IFERROR(IF(INDEX(目标与口径!$E$5:$E$36,MATCH("order_accuracy",目标与口径!$A$5:$A$36,0))="越高越好",IF($C$27&gt;=INDEX(目标与口径!$G$5:$G$36,MATCH("order_accuracy",目标与口径!$A$5:$A$36,0)),"绿",IF($C$27&gt;=INDEX(目标与口径!$H$5:$H$36,MATCH("order_accuracy",目标与口径!$A$5:$A$36,0)),"黄","红")),IF($C$27&lt;=INDEX(目标与口径!$G$5:$G$36,MATCH("order_accuracy",目标与口径!$A$5:$A$36,0)),"绿",IF($C$27&lt;=INDEX(目标与口径!$H$5:$H$36,MATCH("order_accuracy",目标与口径!$A$5:$A$36,0)),"黄","红"))),"—")</f>
        <v>绿</v>
      </c>
      <c r="F27" s="9" t="n">
        <f aca="false">INDEX(目标与口径!$L$5:$L$36,MATCH("order_accuracy",目标与口径!$A$5:$A$36,0))</f>
        <v>0.8</v>
      </c>
      <c r="G27" s="9" t="n">
        <f aca="false">INDEX(目标与口径!$M$5:$M$36,MATCH("order_accuracy",目标与口径!$A$5:$A$36,0))</f>
        <v>0.85</v>
      </c>
      <c r="H27" s="34" t="str">
        <f aca="false">IF($F$27&gt;=0.7,IF($G$27&gt;=0.7,"Q1 今天就做","Q2 上报求援"),IF($G$27&gt;=0.7,"Q3 顺手做掉","Q4 记录观察"))</f>
        <v>Q1 今天就做</v>
      </c>
      <c r="I27" s="10" t="str">
        <f aca="false">INDEX(目标与口径!$J$5:$J$36,MATCH("order_accuracy",目标与口径!$A$5:$A$36,0))</f>
        <v>值班经理</v>
      </c>
      <c r="J27" s="35" t="n">
        <f aca="false">IFERROR(ROUND(IFERROR(MAX(0,IF(INDEX(目标与口径!$E$5:$E$36,MATCH("order_accuracy",目标与口径!$A$5:$A$36,0))="越高越好",INDEX(目标与口径!$G$5:$G$36,MATCH("order_accuracy",目标与口径!$A$5:$A$36,0))-$C$27,$C$27-INDEX(目标与口径!$G$5:$G$36,MATCH("order_accuracy",目标与口径!$A$5:$A$36,0)))/ABS(INDEX(目标与口径!$H$5:$H$36,MATCH("order_accuracy",目标与口径!$A$5:$A$36,0))-INDEX(目标与口径!$G$5:$G$36,MATCH("order_accuracy",目标与口径!$A$5:$A$36,0)))),0)*$F$27*$G$27*IF($E$27="红",2,1),2),0)</f>
        <v>0</v>
      </c>
      <c r="K27" s="10" t="str">
        <f aca="false">INDEX(目标与口径!$N$5:$N$36,MATCH("order_accuracy",目标与口径!$A$5:$A$36,0))</f>
        <v>PB-05</v>
      </c>
      <c r="L27" s="19" t="s">
        <v>138</v>
      </c>
      <c r="M27" s="14" t="n">
        <f aca="false">RANK($J$27,$J$5:$J$36,0)</f>
        <v>16</v>
      </c>
    </row>
    <row r="28" customFormat="false" ht="25.5" hidden="false" customHeight="true" outlineLevel="0" collapsed="false">
      <c r="A28" s="36" t="s">
        <v>139</v>
      </c>
      <c r="B28" s="37" t="s">
        <v>92</v>
      </c>
      <c r="C28" s="11" t="n">
        <f aca="false">IFERROR(INDEX(每日经营日报!$BF$5:$BF$18,MATCH(店长看板!$B$3,每日经营日报!$A$5:$A$18,0)),0)</f>
        <v>8.5</v>
      </c>
      <c r="D28" s="11" t="n">
        <f aca="false">INDEX(目标与口径!$F$5:$F$36,MATCH("cash_over_short",目标与口径!$A$5:$A$36,0))</f>
        <v>0</v>
      </c>
      <c r="E28" s="8" t="str">
        <f aca="false">IFERROR(IF(INDEX(目标与口径!$E$5:$E$36,MATCH("cash_over_short",目标与口径!$A$5:$A$36,0))="越高越好",IF($C$28&gt;=INDEX(目标与口径!$G$5:$G$36,MATCH("cash_over_short",目标与口径!$A$5:$A$36,0)),"绿",IF($C$28&gt;=INDEX(目标与口径!$H$5:$H$36,MATCH("cash_over_short",目标与口径!$A$5:$A$36,0)),"黄","红")),IF($C$28&lt;=INDEX(目标与口径!$G$5:$G$36,MATCH("cash_over_short",目标与口径!$A$5:$A$36,0)),"绿",IF($C$28&lt;=INDEX(目标与口径!$H$5:$H$36,MATCH("cash_over_short",目标与口径!$A$5:$A$36,0)),"黄","红"))),"—")</f>
        <v>绿</v>
      </c>
      <c r="F28" s="38" t="n">
        <f aca="false">INDEX(目标与口径!$L$5:$L$36,MATCH("cash_over_short",目标与口径!$A$5:$A$36,0))</f>
        <v>0.35</v>
      </c>
      <c r="G28" s="38" t="n">
        <f aca="false">INDEX(目标与口径!$M$5:$M$36,MATCH("cash_over_short",目标与口径!$A$5:$A$36,0))</f>
        <v>0.9</v>
      </c>
      <c r="H28" s="39" t="str">
        <f aca="false">IF($F$28&gt;=0.7,IF($G$28&gt;=0.7,"Q1 今天就做","Q2 上报求援"),IF($G$28&gt;=0.7,"Q3 顺手做掉","Q4 记录观察"))</f>
        <v>Q3 顺手做掉</v>
      </c>
      <c r="I28" s="40" t="str">
        <f aca="false">INDEX(目标与口径!$J$5:$J$36,MATCH("cash_over_short",目标与口径!$A$5:$A$36,0))</f>
        <v>值班经理</v>
      </c>
      <c r="J28" s="35" t="n">
        <f aca="false">IFERROR(ROUND(IFERROR(MAX(0,IF(INDEX(目标与口径!$E$5:$E$36,MATCH("cash_over_short",目标与口径!$A$5:$A$36,0))="越高越好",INDEX(目标与口径!$G$5:$G$36,MATCH("cash_over_short",目标与口径!$A$5:$A$36,0))-$C$28,$C$28-INDEX(目标与口径!$G$5:$G$36,MATCH("cash_over_short",目标与口径!$A$5:$A$36,0)))/ABS(INDEX(目标与口径!$H$5:$H$36,MATCH("cash_over_short",目标与口径!$A$5:$A$36,0))-INDEX(目标与口径!$G$5:$G$36,MATCH("cash_over_short",目标与口径!$A$5:$A$36,0)))),0)*$F$28*$G$28*IF($E$28="红",2,1),2),0)</f>
        <v>0</v>
      </c>
      <c r="K28" s="40" t="str">
        <f aca="false">INDEX(目标与口径!$N$5:$N$36,MATCH("cash_over_short",目标与口径!$A$5:$A$36,0))</f>
        <v>PB-08</v>
      </c>
      <c r="L28" s="41" t="s">
        <v>140</v>
      </c>
      <c r="M28" s="42" t="n">
        <f aca="false">RANK($J$28,$J$5:$J$36,0)</f>
        <v>16</v>
      </c>
    </row>
    <row r="29" customFormat="false" ht="25.5" hidden="false" customHeight="true" outlineLevel="0" collapsed="false">
      <c r="A29" s="33" t="s">
        <v>141</v>
      </c>
      <c r="B29" s="3" t="s">
        <v>19</v>
      </c>
      <c r="C29" s="7" t="n">
        <f aca="false">IFERROR(INDEX(每日经营日报!$Z$5:$Z$18,MATCH(店长看板!$B$3,每日经营日报!$A$5:$A$18,0)),0)</f>
        <v>0.132467483059684</v>
      </c>
      <c r="D29" s="7" t="n">
        <f aca="false">INDEX(目标与口径!$F$5:$F$36,MATCH("labor_cost_pct",目标与口径!$A$5:$A$36,0))</f>
        <v>0.135</v>
      </c>
      <c r="E29" s="8" t="str">
        <f aca="false">IFERROR(IF(INDEX(目标与口径!$E$5:$E$36,MATCH("labor_cost_pct",目标与口径!$A$5:$A$36,0))="越高越好",IF($C$29&gt;=INDEX(目标与口径!$G$5:$G$36,MATCH("labor_cost_pct",目标与口径!$A$5:$A$36,0)),"绿",IF($C$29&gt;=INDEX(目标与口径!$H$5:$H$36,MATCH("labor_cost_pct",目标与口径!$A$5:$A$36,0)),"黄","红")),IF($C$29&lt;=INDEX(目标与口径!$G$5:$G$36,MATCH("labor_cost_pct",目标与口径!$A$5:$A$36,0)),"绿",IF($C$29&lt;=INDEX(目标与口径!$H$5:$H$36,MATCH("labor_cost_pct",目标与口径!$A$5:$A$36,0)),"黄","红"))),"—")</f>
        <v>绿</v>
      </c>
      <c r="F29" s="9" t="n">
        <f aca="false">INDEX(目标与口径!$L$5:$L$36,MATCH("labor_cost_pct",目标与口径!$A$5:$A$36,0))</f>
        <v>0.9</v>
      </c>
      <c r="G29" s="9" t="n">
        <f aca="false">INDEX(目标与口径!$M$5:$M$36,MATCH("labor_cost_pct",目标与口径!$A$5:$A$36,0))</f>
        <v>0.8</v>
      </c>
      <c r="H29" s="34" t="str">
        <f aca="false">IF($F$29&gt;=0.7,IF($G$29&gt;=0.7,"Q1 今天就做","Q2 上报求援"),IF($G$29&gt;=0.7,"Q3 顺手做掉","Q4 记录观察"))</f>
        <v>Q1 今天就做</v>
      </c>
      <c r="I29" s="10" t="str">
        <f aca="false">INDEX(目标与口径!$J$5:$J$36,MATCH("labor_cost_pct",目标与口径!$A$5:$A$36,0))</f>
        <v>店长</v>
      </c>
      <c r="J29" s="35" t="n">
        <f aca="false">IFERROR(ROUND(IFERROR(MAX(0,IF(INDEX(目标与口径!$E$5:$E$36,MATCH("labor_cost_pct",目标与口径!$A$5:$A$36,0))="越高越好",INDEX(目标与口径!$G$5:$G$36,MATCH("labor_cost_pct",目标与口径!$A$5:$A$36,0))-$C$29,$C$29-INDEX(目标与口径!$G$5:$G$36,MATCH("labor_cost_pct",目标与口径!$A$5:$A$36,0)))/ABS(INDEX(目标与口径!$H$5:$H$36,MATCH("labor_cost_pct",目标与口径!$A$5:$A$36,0))-INDEX(目标与口径!$G$5:$G$36,MATCH("labor_cost_pct",目标与口径!$A$5:$A$36,0)))),0)*$F$29*$G$29*IF($E$29="红",2,1),2),0)</f>
        <v>0</v>
      </c>
      <c r="K29" s="10" t="str">
        <f aca="false">INDEX(目标与口径!$N$5:$N$36,MATCH("labor_cost_pct",目标与口径!$A$5:$A$36,0))</f>
        <v>PB-07</v>
      </c>
      <c r="L29" s="19" t="s">
        <v>106</v>
      </c>
      <c r="M29" s="14" t="n">
        <f aca="false">RANK($J$29,$J$5:$J$36,0)</f>
        <v>16</v>
      </c>
    </row>
    <row r="30" customFormat="false" ht="25.5" hidden="false" customHeight="true" outlineLevel="0" collapsed="false">
      <c r="A30" s="36" t="s">
        <v>142</v>
      </c>
      <c r="B30" s="37" t="s">
        <v>143</v>
      </c>
      <c r="C30" s="11" t="n">
        <f aca="false">IFERROR(INDEX(每日经营日报!$AA$5:$AA$18,MATCH(店长看板!$B$3,每日经营日报!$A$5:$A$18,0)),0)</f>
        <v>215.147139069285</v>
      </c>
      <c r="D30" s="11" t="n">
        <f aca="false">INDEX(目标与口径!$F$5:$F$36,MATCH("splh",目标与口径!$A$5:$A$36,0))</f>
        <v>210</v>
      </c>
      <c r="E30" s="8" t="str">
        <f aca="false">IFERROR(IF(INDEX(目标与口径!$E$5:$E$36,MATCH("splh",目标与口径!$A$5:$A$36,0))="越高越好",IF($C$30&gt;=INDEX(目标与口径!$G$5:$G$36,MATCH("splh",目标与口径!$A$5:$A$36,0)),"绿",IF($C$30&gt;=INDEX(目标与口径!$H$5:$H$36,MATCH("splh",目标与口径!$A$5:$A$36,0)),"黄","红")),IF($C$30&lt;=INDEX(目标与口径!$G$5:$G$36,MATCH("splh",目标与口径!$A$5:$A$36,0)),"绿",IF($C$30&lt;=INDEX(目标与口径!$H$5:$H$36,MATCH("splh",目标与口径!$A$5:$A$36,0)),"黄","红"))),"—")</f>
        <v>绿</v>
      </c>
      <c r="F30" s="38" t="n">
        <f aca="false">INDEX(目标与口径!$L$5:$L$36,MATCH("splh",目标与口径!$A$5:$A$36,0))</f>
        <v>0.85</v>
      </c>
      <c r="G30" s="38" t="n">
        <f aca="false">INDEX(目标与口径!$M$5:$M$36,MATCH("splh",目标与口径!$A$5:$A$36,0))</f>
        <v>0.85</v>
      </c>
      <c r="H30" s="39" t="str">
        <f aca="false">IF($F$30&gt;=0.7,IF($G$30&gt;=0.7,"Q1 今天就做","Q2 上报求援"),IF($G$30&gt;=0.7,"Q3 顺手做掉","Q4 记录观察"))</f>
        <v>Q1 今天就做</v>
      </c>
      <c r="I30" s="40" t="str">
        <f aca="false">INDEX(目标与口径!$J$5:$J$36,MATCH("splh",目标与口径!$A$5:$A$36,0))</f>
        <v>值班经理</v>
      </c>
      <c r="J30" s="35" t="n">
        <f aca="false">IFERROR(ROUND(IFERROR(MAX(0,IF(INDEX(目标与口径!$E$5:$E$36,MATCH("splh",目标与口径!$A$5:$A$36,0))="越高越好",INDEX(目标与口径!$G$5:$G$36,MATCH("splh",目标与口径!$A$5:$A$36,0))-$C$30,$C$30-INDEX(目标与口径!$G$5:$G$36,MATCH("splh",目标与口径!$A$5:$A$36,0)))/ABS(INDEX(目标与口径!$H$5:$H$36,MATCH("splh",目标与口径!$A$5:$A$36,0))-INDEX(目标与口径!$G$5:$G$36,MATCH("splh",目标与口径!$A$5:$A$36,0)))),0)*$F$30*$G$30*IF($E$30="红",2,1),2),0)</f>
        <v>0</v>
      </c>
      <c r="K30" s="40" t="str">
        <f aca="false">INDEX(目标与口径!$N$5:$N$36,MATCH("splh",目标与口径!$A$5:$A$36,0))</f>
        <v>PB-07</v>
      </c>
      <c r="L30" s="41" t="s">
        <v>106</v>
      </c>
      <c r="M30" s="42" t="n">
        <f aca="false">RANK($J$30,$J$5:$J$36,0)</f>
        <v>16</v>
      </c>
    </row>
    <row r="31" customFormat="false" ht="25.5" hidden="false" customHeight="true" outlineLevel="0" collapsed="false">
      <c r="A31" s="33" t="s">
        <v>144</v>
      </c>
      <c r="B31" s="3" t="s">
        <v>25</v>
      </c>
      <c r="C31" s="11" t="n">
        <f aca="false">IFERROR(INDEX(每日经营日报!$AN$5:$AN$18,MATCH(店长看板!$B$3,每日经营日报!$A$5:$A$18,0)),0)</f>
        <v>0</v>
      </c>
      <c r="D31" s="11" t="n">
        <f aca="false">INDEX(目标与口径!$F$5:$F$36,MATCH("critical_temp_fail",目标与口径!$A$5:$A$36,0))</f>
        <v>0</v>
      </c>
      <c r="E31" s="8" t="str">
        <f aca="false">IFERROR(IF(INDEX(目标与口径!$E$5:$E$36,MATCH("critical_temp_fail",目标与口径!$A$5:$A$36,0))="越高越好",IF($C$31&gt;=INDEX(目标与口径!$G$5:$G$36,MATCH("critical_temp_fail",目标与口径!$A$5:$A$36,0)),"绿",IF($C$31&gt;=INDEX(目标与口径!$H$5:$H$36,MATCH("critical_temp_fail",目标与口径!$A$5:$A$36,0)),"黄","红")),IF($C$31&lt;=INDEX(目标与口径!$G$5:$G$36,MATCH("critical_temp_fail",目标与口径!$A$5:$A$36,0)),"绿",IF($C$31&lt;=INDEX(目标与口径!$H$5:$H$36,MATCH("critical_temp_fail",目标与口径!$A$5:$A$36,0)),"黄","红"))),"—")</f>
        <v>绿</v>
      </c>
      <c r="F31" s="9" t="n">
        <f aca="false">INDEX(目标与口径!$L$5:$L$36,MATCH("critical_temp_fail",目标与口径!$A$5:$A$36,0))</f>
        <v>1</v>
      </c>
      <c r="G31" s="9" t="n">
        <f aca="false">INDEX(目标与口径!$M$5:$M$36,MATCH("critical_temp_fail",目标与口径!$A$5:$A$36,0))</f>
        <v>0.9</v>
      </c>
      <c r="H31" s="34" t="str">
        <f aca="false">IF($F$31&gt;=0.7,IF($G$31&gt;=0.7,"Q1 今天就做","Q2 上报求援"),IF($G$31&gt;=0.7,"Q3 顺手做掉","Q4 记录观察"))</f>
        <v>Q1 今天就做</v>
      </c>
      <c r="I31" s="10" t="str">
        <f aca="false">INDEX(目标与口径!$J$5:$J$36,MATCH("critical_temp_fail",目标与口径!$A$5:$A$36,0))</f>
        <v>值班经理</v>
      </c>
      <c r="J31" s="35" t="n">
        <f aca="false">IFERROR(ROUND(IFERROR(MAX(0,IF(INDEX(目标与口径!$E$5:$E$36,MATCH("critical_temp_fail",目标与口径!$A$5:$A$36,0))="越高越好",INDEX(目标与口径!$G$5:$G$36,MATCH("critical_temp_fail",目标与口径!$A$5:$A$36,0))-$C$31,$C$31-INDEX(目标与口径!$G$5:$G$36,MATCH("critical_temp_fail",目标与口径!$A$5:$A$36,0)))/ABS(INDEX(目标与口径!$H$5:$H$36,MATCH("critical_temp_fail",目标与口径!$A$5:$A$36,0))-INDEX(目标与口径!$G$5:$G$36,MATCH("critical_temp_fail",目标与口径!$A$5:$A$36,0)))),0)*$F$31*$G$31*IF($E$31="红",2,1),2),0)</f>
        <v>0</v>
      </c>
      <c r="K31" s="10" t="str">
        <f aca="false">INDEX(目标与口径!$N$5:$N$36,MATCH("critical_temp_fail",目标与口径!$A$5:$A$36,0))</f>
        <v>PB-09</v>
      </c>
      <c r="L31" s="19" t="s">
        <v>145</v>
      </c>
      <c r="M31" s="14" t="n">
        <f aca="false">RANK($J$31,$J$5:$J$36,0)</f>
        <v>16</v>
      </c>
    </row>
    <row r="32" customFormat="false" ht="25.5" hidden="false" customHeight="true" outlineLevel="0" collapsed="false">
      <c r="A32" s="36" t="s">
        <v>146</v>
      </c>
      <c r="B32" s="37" t="s">
        <v>24</v>
      </c>
      <c r="C32" s="12" t="n">
        <f aca="false">IFERROR(INDEX(每日经营日报!$AM$5:$AM$18,MATCH(店长看板!$B$3,每日经营日报!$A$5:$A$18,0)),0)</f>
        <v>100</v>
      </c>
      <c r="D32" s="12" t="n">
        <f aca="false">INDEX(目标与口径!$F$5:$F$36,MATCH("food_safety_score",目标与口径!$A$5:$A$36,0))</f>
        <v>100</v>
      </c>
      <c r="E32" s="8" t="str">
        <f aca="false">IFERROR(IF(INDEX(目标与口径!$E$5:$E$36,MATCH("food_safety_score",目标与口径!$A$5:$A$36,0))="越高越好",IF($C$32&gt;=INDEX(目标与口径!$G$5:$G$36,MATCH("food_safety_score",目标与口径!$A$5:$A$36,0)),"绿",IF($C$32&gt;=INDEX(目标与口径!$H$5:$H$36,MATCH("food_safety_score",目标与口径!$A$5:$A$36,0)),"黄","红")),IF($C$32&lt;=INDEX(目标与口径!$G$5:$G$36,MATCH("food_safety_score",目标与口径!$A$5:$A$36,0)),"绿",IF($C$32&lt;=INDEX(目标与口径!$H$5:$H$36,MATCH("food_safety_score",目标与口径!$A$5:$A$36,0)),"黄","红"))),"—")</f>
        <v>绿</v>
      </c>
      <c r="F32" s="38" t="n">
        <f aca="false">INDEX(目标与口径!$L$5:$L$36,MATCH("food_safety_score",目标与口径!$A$5:$A$36,0))</f>
        <v>1</v>
      </c>
      <c r="G32" s="38" t="n">
        <f aca="false">INDEX(目标与口径!$M$5:$M$36,MATCH("food_safety_score",目标与口径!$A$5:$A$36,0))</f>
        <v>0.95</v>
      </c>
      <c r="H32" s="39" t="str">
        <f aca="false">IF($F$32&gt;=0.7,IF($G$32&gt;=0.7,"Q1 今天就做","Q2 上报求援"),IF($G$32&gt;=0.7,"Q3 顺手做掉","Q4 记录观察"))</f>
        <v>Q1 今天就做</v>
      </c>
      <c r="I32" s="40" t="str">
        <f aca="false">INDEX(目标与口径!$J$5:$J$36,MATCH("food_safety_score",目标与口径!$A$5:$A$36,0))</f>
        <v>店长</v>
      </c>
      <c r="J32" s="35" t="n">
        <f aca="false">IFERROR(ROUND(IFERROR(MAX(0,IF(INDEX(目标与口径!$E$5:$E$36,MATCH("food_safety_score",目标与口径!$A$5:$A$36,0))="越高越好",INDEX(目标与口径!$G$5:$G$36,MATCH("food_safety_score",目标与口径!$A$5:$A$36,0))-$C$32,$C$32-INDEX(目标与口径!$G$5:$G$36,MATCH("food_safety_score",目标与口径!$A$5:$A$36,0)))/ABS(INDEX(目标与口径!$H$5:$H$36,MATCH("food_safety_score",目标与口径!$A$5:$A$36,0))-INDEX(目标与口径!$G$5:$G$36,MATCH("food_safety_score",目标与口径!$A$5:$A$36,0)))),0)*$F$32*$G$32*IF($E$32="红",2,1),2),0)</f>
        <v>0</v>
      </c>
      <c r="K32" s="40" t="str">
        <f aca="false">INDEX(目标与口径!$N$5:$N$36,MATCH("food_safety_score",目标与口径!$A$5:$A$36,0))</f>
        <v>PB-09</v>
      </c>
      <c r="L32" s="41" t="s">
        <v>145</v>
      </c>
      <c r="M32" s="42" t="n">
        <f aca="false">RANK($J$32,$J$5:$J$36,0)</f>
        <v>16</v>
      </c>
    </row>
    <row r="33" customFormat="false" ht="25.5" hidden="false" customHeight="true" outlineLevel="0" collapsed="false">
      <c r="A33" s="33" t="s">
        <v>147</v>
      </c>
      <c r="B33" s="3" t="s">
        <v>27</v>
      </c>
      <c r="C33" s="7" t="n">
        <f aca="false">IFERROR(INDEX(每日经营日报!$AV$5:$AV$18,MATCH(店长看板!$B$3,每日经营日报!$A$5:$A$18,0)),0)</f>
        <v>1</v>
      </c>
      <c r="D33" s="7" t="n">
        <f aca="false">INDEX(目标与口径!$F$5:$F$36,MATCH("attendance_rate",目标与口径!$A$5:$A$36,0))</f>
        <v>1</v>
      </c>
      <c r="E33" s="8" t="str">
        <f aca="false">IFERROR(IF(INDEX(目标与口径!$E$5:$E$36,MATCH("attendance_rate",目标与口径!$A$5:$A$36,0))="越高越好",IF($C$33&gt;=INDEX(目标与口径!$G$5:$G$36,MATCH("attendance_rate",目标与口径!$A$5:$A$36,0)),"绿",IF($C$33&gt;=INDEX(目标与口径!$H$5:$H$36,MATCH("attendance_rate",目标与口径!$A$5:$A$36,0)),"黄","红")),IF($C$33&lt;=INDEX(目标与口径!$G$5:$G$36,MATCH("attendance_rate",目标与口径!$A$5:$A$36,0)),"绿",IF($C$33&lt;=INDEX(目标与口径!$H$5:$H$36,MATCH("attendance_rate",目标与口径!$A$5:$A$36,0)),"黄","红"))),"—")</f>
        <v>绿</v>
      </c>
      <c r="F33" s="9" t="n">
        <f aca="false">INDEX(目标与口径!$L$5:$L$36,MATCH("attendance_rate",目标与口径!$A$5:$A$36,0))</f>
        <v>0.75</v>
      </c>
      <c r="G33" s="9" t="n">
        <f aca="false">INDEX(目标与口径!$M$5:$M$36,MATCH("attendance_rate",目标与口径!$A$5:$A$36,0))</f>
        <v>0.7</v>
      </c>
      <c r="H33" s="34" t="str">
        <f aca="false">IF($F$33&gt;=0.7,IF($G$33&gt;=0.7,"Q1 今天就做","Q2 上报求援"),IF($G$33&gt;=0.7,"Q3 顺手做掉","Q4 记录观察"))</f>
        <v>Q1 今天就做</v>
      </c>
      <c r="I33" s="10" t="str">
        <f aca="false">INDEX(目标与口径!$J$5:$J$36,MATCH("attendance_rate",目标与口径!$A$5:$A$36,0))</f>
        <v>值班经理</v>
      </c>
      <c r="J33" s="35" t="n">
        <f aca="false">IFERROR(ROUND(IFERROR(MAX(0,IF(INDEX(目标与口径!$E$5:$E$36,MATCH("attendance_rate",目标与口径!$A$5:$A$36,0))="越高越好",INDEX(目标与口径!$G$5:$G$36,MATCH("attendance_rate",目标与口径!$A$5:$A$36,0))-$C$33,$C$33-INDEX(目标与口径!$G$5:$G$36,MATCH("attendance_rate",目标与口径!$A$5:$A$36,0)))/ABS(INDEX(目标与口径!$H$5:$H$36,MATCH("attendance_rate",目标与口径!$A$5:$A$36,0))-INDEX(目标与口径!$G$5:$G$36,MATCH("attendance_rate",目标与口径!$A$5:$A$36,0)))),0)*$F$33*$G$33*IF($E$33="红",2,1),2),0)</f>
        <v>0</v>
      </c>
      <c r="K33" s="10" t="str">
        <f aca="false">INDEX(目标与口径!$N$5:$N$36,MATCH("attendance_rate",目标与口径!$A$5:$A$36,0))</f>
        <v>PB-07</v>
      </c>
      <c r="L33" s="19" t="s">
        <v>106</v>
      </c>
      <c r="M33" s="14" t="n">
        <f aca="false">RANK($J$33,$J$5:$J$36,0)</f>
        <v>16</v>
      </c>
    </row>
    <row r="34" customFormat="false" ht="25.5" hidden="false" customHeight="true" outlineLevel="0" collapsed="false">
      <c r="A34" s="36" t="s">
        <v>148</v>
      </c>
      <c r="B34" s="43" t="s">
        <v>149</v>
      </c>
      <c r="C34" s="7" t="n">
        <f aca="false">IFERROR(INDEX(每日经营日报!$BA$5:$BA$18,MATCH(店长看板!$B$3,每日经营日报!$A$5:$A$18,0)),0)</f>
        <v>0.0476190476190476</v>
      </c>
      <c r="D34" s="7" t="n">
        <f aca="false">INDEX(目标与口径!$F$5:$F$36,MATCH("crew_turnover_30d",目标与口径!$A$5:$A$36,0))</f>
        <v>0.05</v>
      </c>
      <c r="E34" s="8" t="str">
        <f aca="false">IFERROR(IF(INDEX(目标与口径!$E$5:$E$36,MATCH("crew_turnover_30d",目标与口径!$A$5:$A$36,0))="越高越好",IF($C$34&gt;=INDEX(目标与口径!$G$5:$G$36,MATCH("crew_turnover_30d",目标与口径!$A$5:$A$36,0)),"绿",IF($C$34&gt;=INDEX(目标与口径!$H$5:$H$36,MATCH("crew_turnover_30d",目标与口径!$A$5:$A$36,0)),"黄","红")),IF($C$34&lt;=INDEX(目标与口径!$G$5:$G$36,MATCH("crew_turnover_30d",目标与口径!$A$5:$A$36,0)),"绿",IF($C$34&lt;=INDEX(目标与口径!$H$5:$H$36,MATCH("crew_turnover_30d",目标与口径!$A$5:$A$36,0)),"黄","红"))),"—")</f>
        <v>绿</v>
      </c>
      <c r="F34" s="38" t="n">
        <f aca="false">INDEX(目标与口径!$L$5:$L$36,MATCH("crew_turnover_30d",目标与口径!$A$5:$A$36,0))</f>
        <v>0.8</v>
      </c>
      <c r="G34" s="38" t="n">
        <f aca="false">INDEX(目标与口径!$M$5:$M$36,MATCH("crew_turnover_30d",目标与口径!$A$5:$A$36,0))</f>
        <v>0.5</v>
      </c>
      <c r="H34" s="39" t="str">
        <f aca="false">IF($F$34&gt;=0.7,IF($G$34&gt;=0.7,"Q1 今天就做","Q2 上报求援"),IF($G$34&gt;=0.7,"Q3 顺手做掉","Q4 记录观察"))</f>
        <v>Q2 上报求援</v>
      </c>
      <c r="I34" s="40" t="str">
        <f aca="false">INDEX(目标与口径!$J$5:$J$36,MATCH("crew_turnover_30d",目标与口径!$A$5:$A$36,0))</f>
        <v>店长</v>
      </c>
      <c r="J34" s="35" t="n">
        <f aca="false">IFERROR(ROUND(IFERROR(MAX(0,IF(INDEX(目标与口径!$E$5:$E$36,MATCH("crew_turnover_30d",目标与口径!$A$5:$A$36,0))="越高越好",INDEX(目标与口径!$G$5:$G$36,MATCH("crew_turnover_30d",目标与口径!$A$5:$A$36,0))-$C$34,$C$34-INDEX(目标与口径!$G$5:$G$36,MATCH("crew_turnover_30d",目标与口径!$A$5:$A$36,0)))/ABS(INDEX(目标与口径!$H$5:$H$36,MATCH("crew_turnover_30d",目标与口径!$A$5:$A$36,0))-INDEX(目标与口径!$G$5:$G$36,MATCH("crew_turnover_30d",目标与口径!$A$5:$A$36,0)))),0)*$F$34*$G$34*IF($E$34="红",2,1),2),0)</f>
        <v>0</v>
      </c>
      <c r="K34" s="40" t="str">
        <f aca="false">INDEX(目标与口径!$N$5:$N$36,MATCH("crew_turnover_30d",目标与口径!$A$5:$A$36,0))</f>
        <v>PB-12</v>
      </c>
      <c r="L34" s="41" t="s">
        <v>122</v>
      </c>
      <c r="M34" s="42" t="n">
        <f aca="false">RANK($J$34,$J$5:$J$36,0)</f>
        <v>16</v>
      </c>
    </row>
    <row r="35" customFormat="false" ht="25.5" hidden="false" customHeight="true" outlineLevel="0" collapsed="false">
      <c r="A35" s="33" t="s">
        <v>150</v>
      </c>
      <c r="B35" s="3" t="s">
        <v>77</v>
      </c>
      <c r="C35" s="26" t="n">
        <f aca="false">IFERROR(INDEX(每日经营日报!$AL$5:$AL$18,MATCH(店长看板!$B$3,每日经营日报!$A$5:$A$18,0)),0)</f>
        <v>0.639386189258312</v>
      </c>
      <c r="D35" s="26" t="n">
        <f aca="false">INDEX(目标与口径!$F$5:$F$36,MATCH("complaints_per_1k",目标与口径!$A$5:$A$36,0))</f>
        <v>0.8</v>
      </c>
      <c r="E35" s="8" t="str">
        <f aca="false">IFERROR(IF(INDEX(目标与口径!$E$5:$E$36,MATCH("complaints_per_1k",目标与口径!$A$5:$A$36,0))="越高越好",IF($C$35&gt;=INDEX(目标与口径!$G$5:$G$36,MATCH("complaints_per_1k",目标与口径!$A$5:$A$36,0)),"绿",IF($C$35&gt;=INDEX(目标与口径!$H$5:$H$36,MATCH("complaints_per_1k",目标与口径!$A$5:$A$36,0)),"黄","红")),IF($C$35&lt;=INDEX(目标与口径!$G$5:$G$36,MATCH("complaints_per_1k",目标与口径!$A$5:$A$36,0)),"绿",IF($C$35&lt;=INDEX(目标与口径!$H$5:$H$36,MATCH("complaints_per_1k",目标与口径!$A$5:$A$36,0)),"黄","红"))),"—")</f>
        <v>绿</v>
      </c>
      <c r="F35" s="9" t="n">
        <f aca="false">INDEX(目标与口径!$L$5:$L$36,MATCH("complaints_per_1k",目标与口径!$A$5:$A$36,0))</f>
        <v>0.75</v>
      </c>
      <c r="G35" s="9" t="n">
        <f aca="false">INDEX(目标与口径!$M$5:$M$36,MATCH("complaints_per_1k",目标与口径!$A$5:$A$36,0))</f>
        <v>0.7</v>
      </c>
      <c r="H35" s="34" t="str">
        <f aca="false">IF($F$35&gt;=0.7,IF($G$35&gt;=0.7,"Q1 今天就做","Q2 上报求援"),IF($G$35&gt;=0.7,"Q3 顺手做掉","Q4 记录观察"))</f>
        <v>Q1 今天就做</v>
      </c>
      <c r="I35" s="10" t="str">
        <f aca="false">INDEX(目标与口径!$J$5:$J$36,MATCH("complaints_per_1k",目标与口径!$A$5:$A$36,0))</f>
        <v>值班经理</v>
      </c>
      <c r="J35" s="35" t="n">
        <f aca="false">IFERROR(ROUND(IFERROR(MAX(0,IF(INDEX(目标与口径!$E$5:$E$36,MATCH("complaints_per_1k",目标与口径!$A$5:$A$36,0))="越高越好",INDEX(目标与口径!$G$5:$G$36,MATCH("complaints_per_1k",目标与口径!$A$5:$A$36,0))-$C$35,$C$35-INDEX(目标与口径!$G$5:$G$36,MATCH("complaints_per_1k",目标与口径!$A$5:$A$36,0)))/ABS(INDEX(目标与口径!$H$5:$H$36,MATCH("complaints_per_1k",目标与口径!$A$5:$A$36,0))-INDEX(目标与口径!$G$5:$G$36,MATCH("complaints_per_1k",目标与口径!$A$5:$A$36,0)))),0)*$F$35*$G$35*IF($E$35="红",2,1),2),0)</f>
        <v>0</v>
      </c>
      <c r="K35" s="10" t="str">
        <f aca="false">INDEX(目标与口径!$N$5:$N$36,MATCH("complaints_per_1k",目标与口径!$A$5:$A$36,0))</f>
        <v>PB-05</v>
      </c>
      <c r="L35" s="19" t="s">
        <v>138</v>
      </c>
      <c r="M35" s="14" t="n">
        <f aca="false">RANK($J$35,$J$5:$J$36,0)</f>
        <v>16</v>
      </c>
    </row>
    <row r="36" customFormat="false" ht="25.5" hidden="false" customHeight="true" outlineLevel="0" collapsed="false">
      <c r="A36" s="36" t="s">
        <v>151</v>
      </c>
      <c r="B36" s="37" t="s">
        <v>29</v>
      </c>
      <c r="C36" s="12" t="n">
        <f aca="false">IFERROR(INDEX(每日经营日报!$BD$5:$BD$18,MATCH(店长看板!$B$3,每日经营日报!$A$5:$A$18,0)),0)</f>
        <v>92.5714285714286</v>
      </c>
      <c r="D36" s="12" t="n">
        <f aca="false">INDEX(目标与口径!$F$5:$F$36,MATCH("csat",目标与口径!$A$5:$A$36,0))</f>
        <v>88</v>
      </c>
      <c r="E36" s="8" t="str">
        <f aca="false">IFERROR(IF(INDEX(目标与口径!$E$5:$E$36,MATCH("csat",目标与口径!$A$5:$A$36,0))="越高越好",IF($C$36&gt;=INDEX(目标与口径!$G$5:$G$36,MATCH("csat",目标与口径!$A$5:$A$36,0)),"绿",IF($C$36&gt;=INDEX(目标与口径!$H$5:$H$36,MATCH("csat",目标与口径!$A$5:$A$36,0)),"黄","红")),IF($C$36&lt;=INDEX(目标与口径!$G$5:$G$36,MATCH("csat",目标与口径!$A$5:$A$36,0)),"绿",IF($C$36&lt;=INDEX(目标与口径!$H$5:$H$36,MATCH("csat",目标与口径!$A$5:$A$36,0)),"黄","红"))),"—")</f>
        <v>绿</v>
      </c>
      <c r="F36" s="38" t="n">
        <f aca="false">INDEX(目标与口径!$L$5:$L$36,MATCH("csat",目标与口径!$A$5:$A$36,0))</f>
        <v>0.9</v>
      </c>
      <c r="G36" s="38" t="n">
        <f aca="false">INDEX(目标与口径!$M$5:$M$36,MATCH("csat",目标与口径!$A$5:$A$36,0))</f>
        <v>0.6</v>
      </c>
      <c r="H36" s="39" t="str">
        <f aca="false">IF($F$36&gt;=0.7,IF($G$36&gt;=0.7,"Q1 今天就做","Q2 上报求援"),IF($G$36&gt;=0.7,"Q3 顺手做掉","Q4 记录观察"))</f>
        <v>Q2 上报求援</v>
      </c>
      <c r="I36" s="40" t="str">
        <f aca="false">INDEX(目标与口径!$J$5:$J$36,MATCH("csat",目标与口径!$A$5:$A$36,0))</f>
        <v>店长</v>
      </c>
      <c r="J36" s="35" t="n">
        <f aca="false">IFERROR(ROUND(IFERROR(MAX(0,IF(INDEX(目标与口径!$E$5:$E$36,MATCH("csat",目标与口径!$A$5:$A$36,0))="越高越好",INDEX(目标与口径!$G$5:$G$36,MATCH("csat",目标与口径!$A$5:$A$36,0))-$C$36,$C$36-INDEX(目标与口径!$G$5:$G$36,MATCH("csat",目标与口径!$A$5:$A$36,0)))/ABS(INDEX(目标与口径!$H$5:$H$36,MATCH("csat",目标与口径!$A$5:$A$36,0))-INDEX(目标与口径!$G$5:$G$36,MATCH("csat",目标与口径!$A$5:$A$36,0)))),0)*$F$36*$G$36*IF($E$36="红",2,1),2),0)</f>
        <v>0</v>
      </c>
      <c r="K36" s="40" t="str">
        <f aca="false">INDEX(目标与口径!$N$5:$N$36,MATCH("csat",目标与口径!$A$5:$A$36,0))</f>
        <v>PB-05</v>
      </c>
      <c r="L36" s="41" t="s">
        <v>138</v>
      </c>
      <c r="M36" s="42" t="n">
        <f aca="false">RANK($J$36,$J$5:$J$36,0)</f>
        <v>16</v>
      </c>
    </row>
    <row r="38" customFormat="false" ht="24" hidden="false" customHeight="true" outlineLevel="0" collapsed="false">
      <c r="A38" s="44" t="s">
        <v>152</v>
      </c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</row>
    <row r="39" customFormat="false" ht="30" hidden="false" customHeight="true" outlineLevel="0" collapsed="false">
      <c r="A39" s="6" t="s">
        <v>44</v>
      </c>
      <c r="B39" s="6" t="s">
        <v>98</v>
      </c>
      <c r="C39" s="6" t="s">
        <v>99</v>
      </c>
      <c r="D39" s="6" t="s">
        <v>153</v>
      </c>
      <c r="E39" s="6"/>
      <c r="F39" s="6"/>
      <c r="G39" s="6"/>
      <c r="H39" s="6"/>
      <c r="I39" s="6"/>
      <c r="J39" s="6"/>
      <c r="K39" s="6"/>
    </row>
    <row r="40" customFormat="false" ht="15" hidden="false" customHeight="true" outlineLevel="0" collapsed="false">
      <c r="A40" s="45" t="s">
        <v>154</v>
      </c>
      <c r="B40" s="10" t="s">
        <v>155</v>
      </c>
      <c r="C40" s="10" t="s">
        <v>155</v>
      </c>
      <c r="D40" s="46" t="s">
        <v>156</v>
      </c>
      <c r="E40" s="46"/>
      <c r="F40" s="46"/>
      <c r="G40" s="46"/>
      <c r="H40" s="46"/>
      <c r="I40" s="46"/>
      <c r="J40" s="46"/>
      <c r="K40" s="46"/>
      <c r="L40" s="46"/>
      <c r="M40" s="46"/>
    </row>
    <row r="41" customFormat="false" ht="15" hidden="false" customHeight="true" outlineLevel="0" collapsed="false">
      <c r="A41" s="45" t="s">
        <v>157</v>
      </c>
      <c r="B41" s="10" t="s">
        <v>155</v>
      </c>
      <c r="C41" s="10" t="s">
        <v>158</v>
      </c>
      <c r="D41" s="46" t="s">
        <v>159</v>
      </c>
      <c r="E41" s="46"/>
      <c r="F41" s="46"/>
      <c r="G41" s="46"/>
      <c r="H41" s="46"/>
      <c r="I41" s="46"/>
      <c r="J41" s="46"/>
      <c r="K41" s="46"/>
      <c r="L41" s="46"/>
      <c r="M41" s="46"/>
    </row>
    <row r="42" customFormat="false" ht="15" hidden="false" customHeight="true" outlineLevel="0" collapsed="false">
      <c r="A42" s="45" t="s">
        <v>160</v>
      </c>
      <c r="B42" s="10" t="s">
        <v>158</v>
      </c>
      <c r="C42" s="10" t="s">
        <v>155</v>
      </c>
      <c r="D42" s="46" t="s">
        <v>161</v>
      </c>
      <c r="E42" s="46"/>
      <c r="F42" s="46"/>
      <c r="G42" s="46"/>
      <c r="H42" s="46"/>
      <c r="I42" s="46"/>
      <c r="J42" s="46"/>
      <c r="K42" s="46"/>
      <c r="L42" s="46"/>
      <c r="M42" s="46"/>
    </row>
    <row r="43" customFormat="false" ht="15" hidden="false" customHeight="true" outlineLevel="0" collapsed="false">
      <c r="A43" s="45" t="s">
        <v>162</v>
      </c>
      <c r="B43" s="10" t="s">
        <v>158</v>
      </c>
      <c r="C43" s="10" t="s">
        <v>158</v>
      </c>
      <c r="D43" s="46" t="s">
        <v>163</v>
      </c>
      <c r="E43" s="46"/>
      <c r="F43" s="46"/>
      <c r="G43" s="46"/>
      <c r="H43" s="46"/>
      <c r="I43" s="46"/>
      <c r="J43" s="46"/>
      <c r="K43" s="46"/>
      <c r="L43" s="46"/>
      <c r="M43" s="46"/>
    </row>
    <row r="45" customFormat="false" ht="25.5" hidden="false" customHeight="true" outlineLevel="0" collapsed="false">
      <c r="A45" s="21" t="s">
        <v>164</v>
      </c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</row>
  </sheetData>
  <mergeCells count="8">
    <mergeCell ref="A1:M1"/>
    <mergeCell ref="A2:M2"/>
    <mergeCell ref="A38:M38"/>
    <mergeCell ref="D40:M40"/>
    <mergeCell ref="D41:M41"/>
    <mergeCell ref="D42:M42"/>
    <mergeCell ref="D43:M43"/>
    <mergeCell ref="A45:M45"/>
  </mergeCells>
  <conditionalFormatting sqref="E5:E36">
    <cfRule type="cellIs" priority="2" operator="equal" aboveAverage="0" equalAverage="0" bottom="0" percent="0" rank="0" text="" dxfId="0">
      <formula>"红"</formula>
    </cfRule>
    <cfRule type="cellIs" priority="3" operator="equal" aboveAverage="0" equalAverage="0" bottom="0" percent="0" rank="0" text="" dxfId="1">
      <formula>"黄"</formula>
    </cfRule>
    <cfRule type="cellIs" priority="4" operator="equal" aboveAverage="0" equalAverage="0" bottom="0" percent="0" rank="0" text="" dxfId="2">
      <formula>"绿"</formula>
    </cfRule>
  </conditionalFormatting>
  <conditionalFormatting sqref="H5:H36">
    <cfRule type="cellIs" priority="5" operator="equal" aboveAverage="0" equalAverage="0" bottom="0" percent="0" rank="0" text="" dxfId="22">
      <formula>"Q1 今天就做"</formula>
    </cfRule>
    <cfRule type="cellIs" priority="6" operator="equal" aboveAverage="0" equalAverage="0" bottom="0" percent="0" rank="0" text="" dxfId="23">
      <formula>"Q2 上报求援"</formula>
    </cfRule>
    <cfRule type="cellIs" priority="7" operator="equal" aboveAverage="0" equalAverage="0" bottom="0" percent="0" rank="0" text="" dxfId="24">
      <formula>"Q3 顺手做掉"</formula>
    </cfRule>
    <cfRule type="cellIs" priority="8" operator="equal" aboveAverage="0" equalAverage="0" bottom="0" percent="0" rank="0" text="" dxfId="25">
      <formula>"Q4 记录观察"</formula>
    </cfRule>
  </conditionalFormatting>
  <conditionalFormatting sqref="J5:J36">
    <cfRule type="colorScale" priority="9">
      <colorScale>
        <cfvo type="min" val="0"/>
        <cfvo type="max" val="0"/>
        <color rgb="FFFFFFFF"/>
        <color rgb="FFF5A3A3"/>
      </colorScale>
    </cfRule>
  </conditionalFormatting>
  <conditionalFormatting sqref="M5:M36">
    <cfRule type="cellIs" priority="10" operator="lessThanOrEqual" aboveAverage="0" equalAverage="0" bottom="0" percent="0" rank="0" text="" dxfId="0">
      <formula>3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A6572"/>
    <pageSetUpPr fitToPage="false"/>
  </sheetPr>
  <dimension ref="A1:BV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9"/>
    <col collapsed="false" customWidth="true" hidden="false" outlineLevel="0" max="6" min="4" style="0" width="10"/>
    <col collapsed="false" customWidth="true" hidden="false" outlineLevel="0" max="7" min="7" style="0" width="9"/>
    <col collapsed="false" customWidth="true" hidden="false" outlineLevel="0" max="8" min="8" style="0" width="52"/>
    <col collapsed="false" customWidth="true" hidden="false" outlineLevel="0" max="74" min="9" style="0" width="5.4"/>
  </cols>
  <sheetData>
    <row r="1" customFormat="false" ht="30" hidden="false" customHeight="true" outlineLevel="0" collapsed="false">
      <c r="A1" s="1" t="s">
        <v>165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customFormat="false" ht="27.75" hidden="false" customHeight="true" outlineLevel="0" collapsed="false">
      <c r="A2" s="47" t="s">
        <v>166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</row>
    <row r="4" customFormat="false" ht="45.75" hidden="false" customHeight="true" outlineLevel="0" collapsed="false">
      <c r="A4" s="6" t="s">
        <v>4</v>
      </c>
      <c r="B4" s="6" t="s">
        <v>167</v>
      </c>
      <c r="C4" s="48" t="s">
        <v>168</v>
      </c>
      <c r="D4" s="48" t="s">
        <v>169</v>
      </c>
      <c r="E4" s="48" t="s">
        <v>170</v>
      </c>
      <c r="F4" s="48" t="s">
        <v>171</v>
      </c>
      <c r="G4" s="48" t="s">
        <v>172</v>
      </c>
      <c r="H4" s="48" t="s">
        <v>173</v>
      </c>
      <c r="I4" s="48" t="s">
        <v>174</v>
      </c>
      <c r="J4" s="48" t="s">
        <v>175</v>
      </c>
      <c r="K4" s="48" t="s">
        <v>176</v>
      </c>
      <c r="L4" s="48" t="s">
        <v>177</v>
      </c>
      <c r="M4" s="48" t="s">
        <v>178</v>
      </c>
      <c r="N4" s="48" t="s">
        <v>179</v>
      </c>
      <c r="O4" s="48" t="s">
        <v>180</v>
      </c>
      <c r="P4" s="48" t="s">
        <v>181</v>
      </c>
      <c r="Q4" s="48" t="s">
        <v>182</v>
      </c>
      <c r="R4" s="48" t="s">
        <v>183</v>
      </c>
      <c r="S4" s="48" t="s">
        <v>184</v>
      </c>
      <c r="T4" s="48" t="s">
        <v>185</v>
      </c>
      <c r="U4" s="48" t="s">
        <v>186</v>
      </c>
      <c r="V4" s="48" t="s">
        <v>187</v>
      </c>
      <c r="W4" s="48" t="s">
        <v>188</v>
      </c>
      <c r="X4" s="48" t="s">
        <v>189</v>
      </c>
      <c r="Y4" s="48" t="s">
        <v>190</v>
      </c>
      <c r="Z4" s="48" t="s">
        <v>191</v>
      </c>
      <c r="AA4" s="48" t="s">
        <v>192</v>
      </c>
      <c r="AB4" s="48" t="s">
        <v>193</v>
      </c>
      <c r="AC4" s="48" t="s">
        <v>194</v>
      </c>
      <c r="AD4" s="48" t="s">
        <v>195</v>
      </c>
      <c r="AE4" s="48" t="s">
        <v>196</v>
      </c>
      <c r="AF4" s="48" t="s">
        <v>197</v>
      </c>
      <c r="AG4" s="48" t="s">
        <v>198</v>
      </c>
      <c r="AH4" s="48" t="s">
        <v>199</v>
      </c>
      <c r="AI4" s="48" t="s">
        <v>200</v>
      </c>
      <c r="AJ4" s="48" t="s">
        <v>201</v>
      </c>
      <c r="AK4" s="48" t="s">
        <v>202</v>
      </c>
      <c r="AL4" s="48" t="s">
        <v>203</v>
      </c>
      <c r="AM4" s="48" t="s">
        <v>204</v>
      </c>
      <c r="AN4" s="48" t="s">
        <v>205</v>
      </c>
      <c r="AO4" s="48" t="s">
        <v>206</v>
      </c>
      <c r="AP4" s="48" t="s">
        <v>207</v>
      </c>
      <c r="AQ4" s="48" t="s">
        <v>208</v>
      </c>
      <c r="AR4" s="48" t="s">
        <v>209</v>
      </c>
      <c r="AS4" s="48" t="s">
        <v>210</v>
      </c>
      <c r="AT4" s="48" t="s">
        <v>211</v>
      </c>
      <c r="AU4" s="48" t="s">
        <v>212</v>
      </c>
      <c r="AV4" s="48" t="s">
        <v>213</v>
      </c>
      <c r="AW4" s="48" t="s">
        <v>214</v>
      </c>
      <c r="AX4" s="48" t="s">
        <v>215</v>
      </c>
      <c r="AY4" s="48" t="s">
        <v>216</v>
      </c>
      <c r="AZ4" s="48" t="s">
        <v>217</v>
      </c>
      <c r="BA4" s="48" t="s">
        <v>218</v>
      </c>
      <c r="BB4" s="48" t="s">
        <v>219</v>
      </c>
      <c r="BC4" s="48" t="s">
        <v>220</v>
      </c>
      <c r="BD4" s="48" t="s">
        <v>221</v>
      </c>
      <c r="BE4" s="48" t="s">
        <v>222</v>
      </c>
      <c r="BF4" s="48" t="s">
        <v>223</v>
      </c>
      <c r="BG4" s="48" t="s">
        <v>224</v>
      </c>
      <c r="BH4" s="48" t="s">
        <v>225</v>
      </c>
      <c r="BI4" s="48" t="s">
        <v>226</v>
      </c>
      <c r="BJ4" s="48" t="s">
        <v>227</v>
      </c>
      <c r="BK4" s="48" t="s">
        <v>228</v>
      </c>
      <c r="BL4" s="48" t="s">
        <v>229</v>
      </c>
      <c r="BM4" s="48" t="s">
        <v>230</v>
      </c>
      <c r="BN4" s="48" t="s">
        <v>231</v>
      </c>
      <c r="BO4" s="48" t="s">
        <v>232</v>
      </c>
      <c r="BP4" s="48" t="s">
        <v>233</v>
      </c>
      <c r="BQ4" s="48" t="s">
        <v>234</v>
      </c>
      <c r="BR4" s="48" t="s">
        <v>235</v>
      </c>
      <c r="BS4" s="48" t="s">
        <v>236</v>
      </c>
      <c r="BT4" s="48" t="s">
        <v>237</v>
      </c>
      <c r="BU4" s="48" t="s">
        <v>238</v>
      </c>
      <c r="BV4" s="48" t="s">
        <v>239</v>
      </c>
    </row>
    <row r="5" customFormat="false" ht="19.5" hidden="false" customHeight="true" outlineLevel="0" collapsed="false">
      <c r="A5" s="3" t="s">
        <v>13</v>
      </c>
      <c r="B5" s="34" t="s">
        <v>240</v>
      </c>
      <c r="C5" s="49" t="n">
        <v>0.9901</v>
      </c>
      <c r="D5" s="50" t="n">
        <v>0.9146</v>
      </c>
      <c r="E5" s="49" t="n">
        <v>1.1055</v>
      </c>
      <c r="F5" s="51" t="n">
        <v>0.9484</v>
      </c>
      <c r="G5" s="50" t="n">
        <v>0.875</v>
      </c>
      <c r="H5" s="51" t="n">
        <v>0.9518</v>
      </c>
      <c r="I5" s="49" t="n">
        <v>1.1172</v>
      </c>
      <c r="J5" s="50" t="n">
        <v>0.7906</v>
      </c>
      <c r="K5" s="49" t="n">
        <v>0.9924</v>
      </c>
      <c r="L5" s="50" t="n">
        <v>0.8458</v>
      </c>
      <c r="M5" s="49" t="n">
        <v>1.1284</v>
      </c>
      <c r="N5" s="49" t="n">
        <v>1.2589</v>
      </c>
      <c r="O5" s="49" t="n">
        <v>0.9964</v>
      </c>
      <c r="P5" s="51" t="n">
        <v>0.9336</v>
      </c>
      <c r="Q5" s="49" t="n">
        <v>1.4484</v>
      </c>
      <c r="R5" s="50" t="n">
        <v>0.8687</v>
      </c>
      <c r="S5" s="49" t="n">
        <v>1.3017</v>
      </c>
      <c r="T5" s="49" t="n">
        <v>1.3313</v>
      </c>
      <c r="U5" s="50" t="n">
        <v>0.9139</v>
      </c>
      <c r="V5" s="50" t="n">
        <v>0.9174</v>
      </c>
      <c r="W5" s="50" t="n">
        <v>0.87</v>
      </c>
      <c r="X5" s="51" t="n">
        <v>0.9369</v>
      </c>
      <c r="Y5" s="49" t="n">
        <v>1.0686</v>
      </c>
      <c r="Z5" s="50" t="n">
        <v>0.8906</v>
      </c>
      <c r="AA5" s="50" t="n">
        <v>0.9167</v>
      </c>
      <c r="AB5" s="49" t="n">
        <v>1.1057</v>
      </c>
      <c r="AC5" s="49" t="n">
        <v>1.0317</v>
      </c>
      <c r="AD5" s="50" t="n">
        <v>0.757</v>
      </c>
      <c r="AE5" s="51" t="n">
        <v>0.9398</v>
      </c>
      <c r="AF5" s="50" t="n">
        <v>0.8861</v>
      </c>
      <c r="AG5" s="50" t="n">
        <v>0.7978</v>
      </c>
      <c r="AH5" s="50" t="n">
        <v>0.8968</v>
      </c>
      <c r="AI5" s="50" t="n">
        <v>0.852</v>
      </c>
      <c r="AJ5" s="51" t="n">
        <v>0.9788</v>
      </c>
      <c r="AK5" s="50" t="n">
        <v>0.8916</v>
      </c>
      <c r="AL5" s="50" t="n">
        <v>0.8766</v>
      </c>
      <c r="AM5" s="49" t="n">
        <v>1.029</v>
      </c>
      <c r="AN5" s="49" t="n">
        <v>1.2627</v>
      </c>
      <c r="AO5" s="49" t="n">
        <v>1.0296</v>
      </c>
      <c r="AP5" s="50" t="n">
        <v>0.8203</v>
      </c>
      <c r="AQ5" s="51" t="n">
        <v>0.9648</v>
      </c>
      <c r="AR5" s="49" t="n">
        <v>0.9837</v>
      </c>
      <c r="AS5" s="49" t="n">
        <v>1.0514</v>
      </c>
      <c r="AT5" s="50" t="n">
        <v>0.6773</v>
      </c>
      <c r="AU5" s="49" t="n">
        <v>1.0449</v>
      </c>
      <c r="AV5" s="49" t="n">
        <v>1.2569</v>
      </c>
      <c r="AW5" s="49" t="n">
        <v>1.1043</v>
      </c>
      <c r="AX5" s="51" t="n">
        <v>0.9613</v>
      </c>
      <c r="AY5" s="50" t="n">
        <v>0.8858</v>
      </c>
      <c r="AZ5" s="49" t="n">
        <v>1.1425</v>
      </c>
      <c r="BA5" s="50" t="n">
        <v>0.874</v>
      </c>
      <c r="BB5" s="49" t="n">
        <v>1.4121</v>
      </c>
      <c r="BC5" s="49" t="n">
        <v>1.0442</v>
      </c>
      <c r="BD5" s="49" t="n">
        <v>1.2125</v>
      </c>
      <c r="BE5" s="50" t="n">
        <v>0.9006</v>
      </c>
      <c r="BF5" s="50" t="n">
        <v>0.9066</v>
      </c>
      <c r="BG5" s="49" t="n">
        <v>1.0093</v>
      </c>
      <c r="BH5" s="50" t="n">
        <v>0.8613</v>
      </c>
      <c r="BI5" s="49" t="n">
        <v>1.0143</v>
      </c>
      <c r="BJ5" s="49" t="n">
        <v>1.0292</v>
      </c>
      <c r="BK5" s="51" t="n">
        <v>0.9616</v>
      </c>
      <c r="BL5" s="49" t="n">
        <v>1.1738</v>
      </c>
      <c r="BM5" s="50" t="n">
        <v>0.8183</v>
      </c>
      <c r="BN5" s="50" t="n">
        <v>0.8679</v>
      </c>
      <c r="BO5" s="49" t="n">
        <v>1.0755</v>
      </c>
      <c r="BP5" s="50" t="n">
        <v>0.8299</v>
      </c>
      <c r="BQ5" s="50" t="n">
        <v>0.7631</v>
      </c>
      <c r="BR5" s="49" t="n">
        <v>1.1835</v>
      </c>
      <c r="BS5" s="49" t="n">
        <v>1.0998</v>
      </c>
      <c r="BT5" s="49" t="n">
        <v>1.072</v>
      </c>
      <c r="BU5" s="50" t="n">
        <v>0.7583</v>
      </c>
      <c r="BV5" s="50" t="n">
        <v>0.438</v>
      </c>
    </row>
    <row r="6" customFormat="false" ht="19.5" hidden="false" customHeight="true" outlineLevel="0" collapsed="false">
      <c r="A6" s="3" t="s">
        <v>21</v>
      </c>
      <c r="B6" s="34" t="s">
        <v>240</v>
      </c>
      <c r="C6" s="50" t="n">
        <v>0.5714</v>
      </c>
      <c r="D6" s="49" t="n">
        <v>1</v>
      </c>
      <c r="E6" s="49" t="n">
        <v>0.9231</v>
      </c>
      <c r="F6" s="49" t="n">
        <v>0.9375</v>
      </c>
      <c r="G6" s="49" t="n">
        <v>0.9444</v>
      </c>
      <c r="H6" s="49" t="n">
        <v>0.95</v>
      </c>
      <c r="I6" s="49" t="n">
        <v>0.9524</v>
      </c>
      <c r="J6" s="49" t="n">
        <v>0.9524</v>
      </c>
      <c r="K6" s="49" t="n">
        <v>1</v>
      </c>
      <c r="L6" s="49" t="n">
        <v>0.9444</v>
      </c>
      <c r="M6" s="49" t="n">
        <v>1</v>
      </c>
      <c r="N6" s="49" t="n">
        <v>0.9231</v>
      </c>
      <c r="O6" s="49" t="n">
        <v>1</v>
      </c>
      <c r="P6" s="49" t="n">
        <v>1</v>
      </c>
      <c r="Q6" s="49" t="n">
        <v>1</v>
      </c>
      <c r="R6" s="49" t="n">
        <v>1</v>
      </c>
      <c r="S6" s="49" t="n">
        <v>1</v>
      </c>
      <c r="T6" s="51" t="n">
        <v>0.875</v>
      </c>
      <c r="U6" s="49" t="n">
        <v>0.9286</v>
      </c>
      <c r="V6" s="49" t="n">
        <v>0.9091</v>
      </c>
      <c r="W6" s="51" t="n">
        <v>0.8438</v>
      </c>
      <c r="X6" s="51" t="n">
        <v>0.8605</v>
      </c>
      <c r="Y6" s="50" t="n">
        <v>0.566</v>
      </c>
      <c r="Z6" s="50" t="n">
        <v>0.6333</v>
      </c>
      <c r="AA6" s="50" t="n">
        <v>0.7097</v>
      </c>
      <c r="AB6" s="50" t="n">
        <v>0.7458</v>
      </c>
      <c r="AC6" s="50" t="n">
        <v>0.7451</v>
      </c>
      <c r="AD6" s="51" t="n">
        <v>0.878</v>
      </c>
      <c r="AE6" s="49" t="n">
        <v>0.9</v>
      </c>
      <c r="AF6" s="51" t="n">
        <v>0.85</v>
      </c>
      <c r="AG6" s="49" t="n">
        <v>1</v>
      </c>
      <c r="AH6" s="51" t="n">
        <v>0.8571</v>
      </c>
      <c r="AI6" s="50" t="n">
        <v>0.7857</v>
      </c>
      <c r="AJ6" s="49" t="n">
        <v>1</v>
      </c>
      <c r="AK6" s="49" t="n">
        <v>1</v>
      </c>
      <c r="AL6" s="49" t="n">
        <v>1</v>
      </c>
      <c r="AM6" s="49" t="n">
        <v>0.913</v>
      </c>
      <c r="AN6" s="49" t="n">
        <v>0.913</v>
      </c>
      <c r="AO6" s="49" t="n">
        <v>0.9091</v>
      </c>
      <c r="AP6" s="49" t="n">
        <v>0.9048</v>
      </c>
      <c r="AQ6" s="51" t="n">
        <v>0.8333</v>
      </c>
      <c r="AR6" s="49" t="n">
        <v>0.9375</v>
      </c>
      <c r="AS6" s="50" t="n">
        <v>0.7692</v>
      </c>
      <c r="AT6" s="49" t="n">
        <v>1</v>
      </c>
      <c r="AU6" s="50" t="n">
        <v>0.7727</v>
      </c>
      <c r="AV6" s="50" t="n">
        <v>0.5862</v>
      </c>
      <c r="AW6" s="50" t="n">
        <v>0.4865</v>
      </c>
      <c r="AX6" s="50" t="n">
        <v>0.4651</v>
      </c>
      <c r="AY6" s="50" t="n">
        <v>0.5</v>
      </c>
      <c r="AZ6" s="50" t="n">
        <v>0.54</v>
      </c>
      <c r="BA6" s="50" t="n">
        <v>0.4792</v>
      </c>
      <c r="BB6" s="50" t="n">
        <v>0.4545</v>
      </c>
      <c r="BC6" s="50" t="n">
        <v>0.3947</v>
      </c>
      <c r="BD6" s="50" t="n">
        <v>0.5161</v>
      </c>
      <c r="BE6" s="50" t="n">
        <v>0.6522</v>
      </c>
      <c r="BF6" s="51" t="n">
        <v>0.8235</v>
      </c>
      <c r="BG6" s="49" t="n">
        <v>1</v>
      </c>
      <c r="BH6" s="49" t="n">
        <v>1</v>
      </c>
      <c r="BI6" s="49" t="n">
        <v>1</v>
      </c>
      <c r="BJ6" s="49" t="n">
        <v>1</v>
      </c>
      <c r="BK6" s="49" t="n">
        <v>1</v>
      </c>
      <c r="BL6" s="49" t="n">
        <v>0.9444</v>
      </c>
      <c r="BM6" s="51" t="n">
        <v>0.8</v>
      </c>
      <c r="BN6" s="49" t="n">
        <v>0.95</v>
      </c>
      <c r="BO6" s="51" t="n">
        <v>0.8421</v>
      </c>
      <c r="BP6" s="51" t="n">
        <v>0.8235</v>
      </c>
      <c r="BQ6" s="49" t="n">
        <v>1</v>
      </c>
      <c r="BR6" s="51" t="n">
        <v>0.8182</v>
      </c>
      <c r="BS6" s="51" t="n">
        <v>0.875</v>
      </c>
      <c r="BT6" s="49" t="n">
        <v>1</v>
      </c>
      <c r="BU6" s="49" t="n">
        <v>1</v>
      </c>
      <c r="BV6" s="49" t="n">
        <v>1</v>
      </c>
    </row>
    <row r="7" customFormat="false" ht="19.5" hidden="false" customHeight="true" outlineLevel="0" collapsed="false">
      <c r="A7" s="3" t="s">
        <v>22</v>
      </c>
      <c r="B7" s="10" t="s">
        <v>241</v>
      </c>
      <c r="C7" s="52" t="n">
        <v>171.6</v>
      </c>
      <c r="D7" s="52" t="n">
        <v>127.8</v>
      </c>
      <c r="E7" s="52" t="n">
        <v>143.4</v>
      </c>
      <c r="F7" s="52" t="n">
        <v>133.9</v>
      </c>
      <c r="G7" s="52" t="n">
        <v>129.4333</v>
      </c>
      <c r="H7" s="52" t="n">
        <v>145.725</v>
      </c>
      <c r="I7" s="52" t="n">
        <v>132.45</v>
      </c>
      <c r="J7" s="52" t="n">
        <v>143.45</v>
      </c>
      <c r="K7" s="52" t="n">
        <v>140.85</v>
      </c>
      <c r="L7" s="52" t="n">
        <v>147.0167</v>
      </c>
      <c r="M7" s="52" t="n">
        <v>136.06</v>
      </c>
      <c r="N7" s="52" t="n">
        <v>142.9667</v>
      </c>
      <c r="O7" s="52" t="n">
        <v>115.02</v>
      </c>
      <c r="P7" s="52" t="n">
        <v>128.6</v>
      </c>
      <c r="Q7" s="52" t="n">
        <v>159.3</v>
      </c>
      <c r="R7" s="52" t="n">
        <v>151.7</v>
      </c>
      <c r="S7" s="52"/>
      <c r="T7" s="52" t="n">
        <v>162.5</v>
      </c>
      <c r="U7" s="52" t="n">
        <v>163.1</v>
      </c>
      <c r="V7" s="52" t="n">
        <v>139.25</v>
      </c>
      <c r="W7" s="52" t="n">
        <v>126.8667</v>
      </c>
      <c r="X7" s="52" t="n">
        <v>173.0556</v>
      </c>
      <c r="Y7" s="52" t="n">
        <v>174.7538</v>
      </c>
      <c r="Z7" s="52" t="n">
        <v>180.25</v>
      </c>
      <c r="AA7" s="52" t="n">
        <v>169.9375</v>
      </c>
      <c r="AB7" s="52" t="n">
        <v>153.125</v>
      </c>
      <c r="AC7" s="52" t="n">
        <v>151.2667</v>
      </c>
      <c r="AD7" s="52" t="n">
        <v>145.7</v>
      </c>
      <c r="AE7" s="52" t="n">
        <v>149.1333</v>
      </c>
      <c r="AF7" s="52" t="n">
        <v>145.225</v>
      </c>
      <c r="AG7" s="52" t="n">
        <v>156.2</v>
      </c>
      <c r="AH7" s="52" t="n">
        <v>147.35</v>
      </c>
      <c r="AI7" s="52" t="n">
        <v>141.9</v>
      </c>
      <c r="AJ7" s="52" t="n">
        <v>141.5667</v>
      </c>
      <c r="AK7" s="52" t="n">
        <v>127.05</v>
      </c>
      <c r="AL7" s="52" t="n">
        <v>127.9</v>
      </c>
      <c r="AM7" s="52" t="n">
        <v>137.7625</v>
      </c>
      <c r="AN7" s="52" t="n">
        <v>156.8333</v>
      </c>
      <c r="AO7" s="52" t="n">
        <v>136.7</v>
      </c>
      <c r="AP7" s="52" t="n">
        <v>163.7</v>
      </c>
      <c r="AQ7" s="52" t="n">
        <v>122</v>
      </c>
      <c r="AR7" s="52" t="n">
        <v>147.025</v>
      </c>
      <c r="AS7" s="52" t="n">
        <v>157.75</v>
      </c>
      <c r="AT7" s="52" t="n">
        <v>146.3</v>
      </c>
      <c r="AU7" s="52" t="n">
        <v>172.75</v>
      </c>
      <c r="AV7" s="52" t="n">
        <v>179.78</v>
      </c>
      <c r="AW7" s="52" t="n">
        <v>189.4125</v>
      </c>
      <c r="AX7" s="52" t="n">
        <v>189.625</v>
      </c>
      <c r="AY7" s="53" t="n">
        <v>197.86</v>
      </c>
      <c r="AZ7" s="52" t="n">
        <v>183.45</v>
      </c>
      <c r="BA7" s="52" t="n">
        <v>186.0571</v>
      </c>
      <c r="BB7" s="53" t="n">
        <v>191.79</v>
      </c>
      <c r="BC7" s="52" t="n">
        <v>189.825</v>
      </c>
      <c r="BD7" s="52" t="n">
        <v>185.75</v>
      </c>
      <c r="BE7" s="52" t="n">
        <v>153.45</v>
      </c>
      <c r="BF7" s="52" t="n">
        <v>152.25</v>
      </c>
      <c r="BG7" s="52" t="n">
        <v>122.8</v>
      </c>
      <c r="BH7" s="52" t="n">
        <v>149.2</v>
      </c>
      <c r="BI7" s="52" t="n">
        <v>140.4</v>
      </c>
      <c r="BJ7" s="52"/>
      <c r="BK7" s="52" t="n">
        <v>132.74</v>
      </c>
      <c r="BL7" s="52" t="n">
        <v>137.8</v>
      </c>
      <c r="BM7" s="52" t="n">
        <v>157.45</v>
      </c>
      <c r="BN7" s="52" t="n">
        <v>133.8714</v>
      </c>
      <c r="BO7" s="52" t="n">
        <v>146.85</v>
      </c>
      <c r="BP7" s="52" t="n">
        <v>149.7</v>
      </c>
      <c r="BQ7" s="52" t="n">
        <v>116.6667</v>
      </c>
      <c r="BR7" s="52" t="n">
        <v>156.9</v>
      </c>
      <c r="BS7" s="52" t="n">
        <v>143.65</v>
      </c>
      <c r="BT7" s="52" t="n">
        <v>96.9</v>
      </c>
      <c r="BU7" s="52" t="n">
        <v>154.1</v>
      </c>
      <c r="BV7" s="52" t="n">
        <v>128.3</v>
      </c>
    </row>
    <row r="8" customFormat="false" ht="19.5" hidden="false" customHeight="true" outlineLevel="0" collapsed="false">
      <c r="A8" s="3" t="s">
        <v>72</v>
      </c>
      <c r="B8" s="10" t="s">
        <v>241</v>
      </c>
      <c r="C8" s="52" t="n">
        <v>84.6143</v>
      </c>
      <c r="D8" s="52" t="n">
        <v>79.69</v>
      </c>
      <c r="E8" s="52" t="n">
        <v>78.0538</v>
      </c>
      <c r="F8" s="52" t="n">
        <v>79.7125</v>
      </c>
      <c r="G8" s="52" t="n">
        <v>77.5833</v>
      </c>
      <c r="H8" s="52" t="n">
        <v>80.275</v>
      </c>
      <c r="I8" s="52" t="n">
        <v>82.1667</v>
      </c>
      <c r="J8" s="52" t="n">
        <v>74.5238</v>
      </c>
      <c r="K8" s="52" t="n">
        <v>77.745</v>
      </c>
      <c r="L8" s="52" t="n">
        <v>79.35</v>
      </c>
      <c r="M8" s="52" t="n">
        <v>79.2187</v>
      </c>
      <c r="N8" s="52" t="n">
        <v>77.1231</v>
      </c>
      <c r="O8" s="52" t="n">
        <v>72.12</v>
      </c>
      <c r="P8" s="52" t="n">
        <v>86.5571</v>
      </c>
      <c r="Q8" s="52" t="n">
        <v>80.7</v>
      </c>
      <c r="R8" s="52" t="n">
        <v>60.7</v>
      </c>
      <c r="S8" s="52" t="n">
        <v>84.2</v>
      </c>
      <c r="T8" s="52" t="n">
        <v>84.0125</v>
      </c>
      <c r="U8" s="52" t="n">
        <v>82.8357</v>
      </c>
      <c r="V8" s="52" t="n">
        <v>81.6409</v>
      </c>
      <c r="W8" s="52" t="n">
        <v>81.9656</v>
      </c>
      <c r="X8" s="52" t="n">
        <v>90.7628</v>
      </c>
      <c r="Y8" s="52" t="n">
        <v>99.0434</v>
      </c>
      <c r="Z8" s="52" t="n">
        <v>89.35</v>
      </c>
      <c r="AA8" s="52" t="n">
        <v>88.4565</v>
      </c>
      <c r="AB8" s="52" t="n">
        <v>90.7593</v>
      </c>
      <c r="AC8" s="52" t="n">
        <v>92.1922</v>
      </c>
      <c r="AD8" s="52" t="n">
        <v>87.0756</v>
      </c>
      <c r="AE8" s="52" t="n">
        <v>83.7967</v>
      </c>
      <c r="AF8" s="52" t="n">
        <v>81.975</v>
      </c>
      <c r="AG8" s="52" t="n">
        <v>72.0833</v>
      </c>
      <c r="AH8" s="52" t="n">
        <v>78.5714</v>
      </c>
      <c r="AI8" s="52" t="n">
        <v>75.5214</v>
      </c>
      <c r="AJ8" s="52" t="n">
        <v>74.8941</v>
      </c>
      <c r="AK8" s="52" t="n">
        <v>80.63</v>
      </c>
      <c r="AL8" s="52" t="n">
        <v>76.5</v>
      </c>
      <c r="AM8" s="52" t="n">
        <v>77.2174</v>
      </c>
      <c r="AN8" s="52" t="n">
        <v>80.0043</v>
      </c>
      <c r="AO8" s="52" t="n">
        <v>80.9591</v>
      </c>
      <c r="AP8" s="52" t="n">
        <v>74.7429</v>
      </c>
      <c r="AQ8" s="52" t="n">
        <v>85.6778</v>
      </c>
      <c r="AR8" s="52" t="n">
        <v>82.5938</v>
      </c>
      <c r="AS8" s="52" t="n">
        <v>84.0923</v>
      </c>
      <c r="AT8" s="52" t="n">
        <v>72.09</v>
      </c>
      <c r="AU8" s="52" t="n">
        <v>91.0591</v>
      </c>
      <c r="AV8" s="52" t="n">
        <v>89.031</v>
      </c>
      <c r="AW8" s="53" t="n">
        <v>100.127</v>
      </c>
      <c r="AX8" s="52" t="n">
        <v>91.8163</v>
      </c>
      <c r="AY8" s="52" t="n">
        <v>97.9</v>
      </c>
      <c r="AZ8" s="52" t="n">
        <v>94.57</v>
      </c>
      <c r="BA8" s="52" t="n">
        <v>99.0938</v>
      </c>
      <c r="BB8" s="52" t="n">
        <v>93.6659</v>
      </c>
      <c r="BC8" s="52" t="n">
        <v>99.0921</v>
      </c>
      <c r="BD8" s="52" t="n">
        <v>96.7645</v>
      </c>
      <c r="BE8" s="52" t="n">
        <v>88.6217</v>
      </c>
      <c r="BF8" s="52" t="n">
        <v>82.6941</v>
      </c>
      <c r="BG8" s="52" t="n">
        <v>81.6182</v>
      </c>
      <c r="BH8" s="52" t="n">
        <v>80.7714</v>
      </c>
      <c r="BI8" s="52" t="n">
        <v>77.2</v>
      </c>
      <c r="BJ8" s="52" t="n">
        <v>68.95</v>
      </c>
      <c r="BK8" s="52" t="n">
        <v>72.5438</v>
      </c>
      <c r="BL8" s="52" t="n">
        <v>79.9111</v>
      </c>
      <c r="BM8" s="52" t="n">
        <v>74.295</v>
      </c>
      <c r="BN8" s="52" t="n">
        <v>74.41</v>
      </c>
      <c r="BO8" s="52" t="n">
        <v>84.1474</v>
      </c>
      <c r="BP8" s="52" t="n">
        <v>76.9529</v>
      </c>
      <c r="BQ8" s="52" t="n">
        <v>76.6071</v>
      </c>
      <c r="BR8" s="52" t="n">
        <v>83.2636</v>
      </c>
      <c r="BS8" s="52" t="n">
        <v>81.2125</v>
      </c>
      <c r="BT8" s="52" t="n">
        <v>78.4167</v>
      </c>
      <c r="BU8" s="52" t="n">
        <v>72.225</v>
      </c>
      <c r="BV8" s="52" t="n">
        <v>72.2</v>
      </c>
    </row>
    <row r="9" customFormat="false" ht="19.5" hidden="false" customHeight="true" outlineLevel="0" collapsed="false">
      <c r="A9" s="3" t="s">
        <v>143</v>
      </c>
      <c r="B9" s="34" t="s">
        <v>242</v>
      </c>
      <c r="C9" s="54" t="n">
        <v>164</v>
      </c>
      <c r="D9" s="54" t="n">
        <v>165.381</v>
      </c>
      <c r="E9" s="53" t="n">
        <v>193.6875</v>
      </c>
      <c r="F9" s="52" t="n">
        <v>209.5076</v>
      </c>
      <c r="G9" s="52" t="n">
        <v>230.7487</v>
      </c>
      <c r="H9" s="52" t="n">
        <v>224.7961</v>
      </c>
      <c r="I9" s="52" t="n">
        <v>220.8273</v>
      </c>
      <c r="J9" s="54" t="n">
        <v>181.049</v>
      </c>
      <c r="K9" s="52" t="n">
        <v>222.3392</v>
      </c>
      <c r="L9" s="52" t="n">
        <v>214.3369</v>
      </c>
      <c r="M9" s="52" t="n">
        <v>230.0989</v>
      </c>
      <c r="N9" s="52" t="n">
        <v>209.05</v>
      </c>
      <c r="O9" s="52" t="n">
        <v>219.5995</v>
      </c>
      <c r="P9" s="54" t="n">
        <v>121.893</v>
      </c>
      <c r="Q9" s="54" t="n">
        <v>159.535</v>
      </c>
      <c r="R9" s="54" t="n">
        <v>74.7209</v>
      </c>
      <c r="S9" s="54" t="n">
        <v>166.8792</v>
      </c>
      <c r="T9" s="54" t="n">
        <v>183.632</v>
      </c>
      <c r="U9" s="52" t="n">
        <v>221.9519</v>
      </c>
      <c r="V9" s="52" t="n">
        <v>268.209</v>
      </c>
      <c r="W9" s="52" t="n">
        <v>276.2904</v>
      </c>
      <c r="X9" s="52" t="n">
        <v>277.5696</v>
      </c>
      <c r="Y9" s="52" t="n">
        <v>325.4548</v>
      </c>
      <c r="Z9" s="52" t="n">
        <v>290.0205</v>
      </c>
      <c r="AA9" s="52" t="n">
        <v>272.9394</v>
      </c>
      <c r="AB9" s="52" t="n">
        <v>303.7778</v>
      </c>
      <c r="AC9" s="52" t="n">
        <v>316.3963</v>
      </c>
      <c r="AD9" s="52" t="n">
        <v>276.4479</v>
      </c>
      <c r="AE9" s="52" t="n">
        <v>252.5796</v>
      </c>
      <c r="AF9" s="52" t="n">
        <v>234.4032</v>
      </c>
      <c r="AG9" s="54" t="n">
        <v>170.6682</v>
      </c>
      <c r="AH9" s="54" t="n">
        <v>154.06</v>
      </c>
      <c r="AI9" s="53" t="n">
        <v>193.5804</v>
      </c>
      <c r="AJ9" s="53" t="n">
        <v>201.2308</v>
      </c>
      <c r="AK9" s="52" t="n">
        <v>237.4176</v>
      </c>
      <c r="AL9" s="52" t="n">
        <v>233.9642</v>
      </c>
      <c r="AM9" s="52" t="n">
        <v>281.3291</v>
      </c>
      <c r="AN9" s="52" t="n">
        <v>280.0725</v>
      </c>
      <c r="AO9" s="52" t="n">
        <v>252.1522</v>
      </c>
      <c r="AP9" s="52" t="n">
        <v>216.1064</v>
      </c>
      <c r="AQ9" s="52" t="n">
        <v>228.8549</v>
      </c>
      <c r="AR9" s="52" t="n">
        <v>226.5941</v>
      </c>
      <c r="AS9" s="53" t="n">
        <v>190.8792</v>
      </c>
      <c r="AT9" s="54" t="n">
        <v>135.3408</v>
      </c>
      <c r="AU9" s="52" t="n">
        <v>296.2862</v>
      </c>
      <c r="AV9" s="52" t="n">
        <v>298.7536</v>
      </c>
      <c r="AW9" s="52" t="n">
        <v>330.3146</v>
      </c>
      <c r="AX9" s="52" t="n">
        <v>309.6898</v>
      </c>
      <c r="AY9" s="52" t="n">
        <v>305.9366</v>
      </c>
      <c r="AZ9" s="52" t="n">
        <v>331.4631</v>
      </c>
      <c r="BA9" s="52" t="n">
        <v>292.4624</v>
      </c>
      <c r="BB9" s="52" t="n">
        <v>313.97</v>
      </c>
      <c r="BC9" s="52" t="n">
        <v>344.2171</v>
      </c>
      <c r="BD9" s="52" t="n">
        <v>317.2907</v>
      </c>
      <c r="BE9" s="52" t="n">
        <v>308.6655</v>
      </c>
      <c r="BF9" s="52" t="n">
        <v>239.1642</v>
      </c>
      <c r="BG9" s="54" t="n">
        <v>173.5045</v>
      </c>
      <c r="BH9" s="54" t="n">
        <v>131.8817</v>
      </c>
      <c r="BI9" s="54" t="n">
        <v>120.7026</v>
      </c>
      <c r="BJ9" s="54" t="n">
        <v>56.032</v>
      </c>
      <c r="BK9" s="54" t="n">
        <v>163.1193</v>
      </c>
      <c r="BL9" s="52" t="n">
        <v>229.7607</v>
      </c>
      <c r="BM9" s="52" t="n">
        <v>220.6978</v>
      </c>
      <c r="BN9" s="52" t="n">
        <v>238.8736</v>
      </c>
      <c r="BO9" s="52" t="n">
        <v>244.6711</v>
      </c>
      <c r="BP9" s="53" t="n">
        <v>203.0881</v>
      </c>
      <c r="BQ9" s="53" t="n">
        <v>186.816</v>
      </c>
      <c r="BR9" s="52" t="n">
        <v>224.5636</v>
      </c>
      <c r="BS9" s="53" t="n">
        <v>193.3314</v>
      </c>
      <c r="BT9" s="54" t="n">
        <v>101.8443</v>
      </c>
      <c r="BU9" s="54" t="n">
        <v>94.8312</v>
      </c>
      <c r="BV9" s="54" t="n">
        <v>23.9156</v>
      </c>
    </row>
    <row r="11" customFormat="false" ht="24" hidden="false" customHeight="true" outlineLevel="0" collapsed="false">
      <c r="A11" s="44" t="s">
        <v>243</v>
      </c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</row>
    <row r="12" customFormat="false" ht="30" hidden="false" customHeight="true" outlineLevel="0" collapsed="false">
      <c r="A12" s="6" t="s">
        <v>4</v>
      </c>
      <c r="B12" s="6" t="s">
        <v>244</v>
      </c>
      <c r="C12" s="6" t="s">
        <v>245</v>
      </c>
      <c r="D12" s="6" t="s">
        <v>246</v>
      </c>
      <c r="E12" s="6" t="s">
        <v>247</v>
      </c>
      <c r="F12" s="6" t="s">
        <v>248</v>
      </c>
      <c r="G12" s="6" t="s">
        <v>249</v>
      </c>
      <c r="H12" s="6" t="s">
        <v>250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</row>
    <row r="13" customFormat="false" ht="15" hidden="false" customHeight="false" outlineLevel="0" collapsed="false">
      <c r="A13" s="3" t="s">
        <v>13</v>
      </c>
      <c r="B13" s="34" t="s">
        <v>195</v>
      </c>
      <c r="C13" s="34" t="s">
        <v>203</v>
      </c>
      <c r="D13" s="14" t="n">
        <v>9</v>
      </c>
      <c r="E13" s="7" t="n">
        <v>0.875155919907458</v>
      </c>
      <c r="F13" s="7" t="n">
        <v>0.756999084106844</v>
      </c>
      <c r="G13" s="10" t="s">
        <v>251</v>
      </c>
      <c r="H13" s="19" t="s">
        <v>252</v>
      </c>
    </row>
    <row r="14" customFormat="false" ht="15" hidden="false" customHeight="false" outlineLevel="0" collapsed="false">
      <c r="A14" s="3" t="s">
        <v>13</v>
      </c>
      <c r="B14" s="34" t="s">
        <v>186</v>
      </c>
      <c r="C14" s="34" t="s">
        <v>189</v>
      </c>
      <c r="D14" s="14" t="n">
        <v>4</v>
      </c>
      <c r="E14" s="7" t="n">
        <v>0.909548000776539</v>
      </c>
      <c r="F14" s="7" t="n">
        <v>0.87003948337014</v>
      </c>
      <c r="G14" s="10" t="s">
        <v>251</v>
      </c>
      <c r="H14" s="19" t="s">
        <v>252</v>
      </c>
    </row>
    <row r="15" customFormat="false" ht="15" hidden="false" customHeight="false" outlineLevel="0" collapsed="false">
      <c r="A15" s="3" t="s">
        <v>13</v>
      </c>
      <c r="B15" s="34" t="s">
        <v>171</v>
      </c>
      <c r="C15" s="34" t="s">
        <v>173</v>
      </c>
      <c r="D15" s="14" t="n">
        <v>3</v>
      </c>
      <c r="E15" s="7" t="n">
        <v>0.925048152394751</v>
      </c>
      <c r="F15" s="7" t="n">
        <v>0.874954627949183</v>
      </c>
      <c r="G15" s="10" t="s">
        <v>251</v>
      </c>
      <c r="H15" s="19" t="s">
        <v>252</v>
      </c>
    </row>
    <row r="16" customFormat="false" ht="15" hidden="false" customHeight="false" outlineLevel="0" collapsed="false">
      <c r="A16" s="3" t="s">
        <v>13</v>
      </c>
      <c r="B16" s="34" t="s">
        <v>191</v>
      </c>
      <c r="C16" s="34" t="s">
        <v>192</v>
      </c>
      <c r="D16" s="14" t="n">
        <v>2</v>
      </c>
      <c r="E16" s="7" t="n">
        <v>0.903645617255303</v>
      </c>
      <c r="F16" s="7" t="n">
        <v>0.890561640839264</v>
      </c>
      <c r="G16" s="10" t="s">
        <v>251</v>
      </c>
      <c r="H16" s="19" t="s">
        <v>252</v>
      </c>
    </row>
    <row r="17" customFormat="false" ht="15" hidden="false" customHeight="false" outlineLevel="0" collapsed="false">
      <c r="A17" s="3" t="s">
        <v>13</v>
      </c>
      <c r="B17" s="34" t="s">
        <v>207</v>
      </c>
      <c r="C17" s="34" t="s">
        <v>208</v>
      </c>
      <c r="D17" s="14" t="n">
        <v>2</v>
      </c>
      <c r="E17" s="7" t="n">
        <v>0.892549480564162</v>
      </c>
      <c r="F17" s="7" t="n">
        <v>0.820325773146883</v>
      </c>
      <c r="G17" s="10" t="s">
        <v>251</v>
      </c>
      <c r="H17" s="19" t="s">
        <v>252</v>
      </c>
    </row>
    <row r="18" customFormat="false" ht="15" hidden="false" customHeight="false" outlineLevel="0" collapsed="false">
      <c r="A18" s="3" t="s">
        <v>13</v>
      </c>
      <c r="B18" s="34" t="s">
        <v>215</v>
      </c>
      <c r="C18" s="34" t="s">
        <v>216</v>
      </c>
      <c r="D18" s="14" t="n">
        <v>2</v>
      </c>
      <c r="E18" s="7" t="n">
        <v>0.92353314522139</v>
      </c>
      <c r="F18" s="7" t="n">
        <v>0.885808498926031</v>
      </c>
      <c r="G18" s="10" t="s">
        <v>251</v>
      </c>
      <c r="H18" s="19" t="s">
        <v>252</v>
      </c>
    </row>
    <row r="19" customFormat="false" ht="15" hidden="false" customHeight="false" outlineLevel="0" collapsed="false">
      <c r="A19" s="3" t="s">
        <v>13</v>
      </c>
      <c r="B19" s="34" t="s">
        <v>222</v>
      </c>
      <c r="C19" s="34" t="s">
        <v>223</v>
      </c>
      <c r="D19" s="14" t="n">
        <v>2</v>
      </c>
      <c r="E19" s="7" t="n">
        <v>0.903604967041458</v>
      </c>
      <c r="F19" s="7" t="n">
        <v>0.900563898126536</v>
      </c>
      <c r="G19" s="10" t="s">
        <v>251</v>
      </c>
      <c r="H19" s="19" t="s">
        <v>252</v>
      </c>
    </row>
    <row r="20" customFormat="false" ht="15" hidden="false" customHeight="false" outlineLevel="0" collapsed="false">
      <c r="A20" s="3" t="s">
        <v>13</v>
      </c>
      <c r="B20" s="34" t="s">
        <v>230</v>
      </c>
      <c r="C20" s="34" t="s">
        <v>231</v>
      </c>
      <c r="D20" s="14" t="n">
        <v>2</v>
      </c>
      <c r="E20" s="7" t="n">
        <v>0.843129829261617</v>
      </c>
      <c r="F20" s="7" t="n">
        <v>0.818310120705664</v>
      </c>
      <c r="G20" s="10" t="s">
        <v>251</v>
      </c>
      <c r="H20" s="19" t="s">
        <v>252</v>
      </c>
    </row>
    <row r="21" customFormat="false" ht="15" hidden="false" customHeight="false" outlineLevel="0" collapsed="false">
      <c r="A21" s="3" t="s">
        <v>13</v>
      </c>
      <c r="B21" s="34" t="s">
        <v>233</v>
      </c>
      <c r="C21" s="34" t="s">
        <v>234</v>
      </c>
      <c r="D21" s="14" t="n">
        <v>2</v>
      </c>
      <c r="E21" s="7" t="n">
        <v>0.796509541669269</v>
      </c>
      <c r="F21" s="7" t="n">
        <v>0.763149724668704</v>
      </c>
      <c r="G21" s="10" t="s">
        <v>251</v>
      </c>
      <c r="H21" s="19" t="s">
        <v>252</v>
      </c>
    </row>
    <row r="22" customFormat="false" ht="15" hidden="false" customHeight="false" outlineLevel="0" collapsed="false">
      <c r="A22" s="3" t="s">
        <v>13</v>
      </c>
      <c r="B22" s="34" t="s">
        <v>238</v>
      </c>
      <c r="C22" s="34" t="s">
        <v>239</v>
      </c>
      <c r="D22" s="14" t="n">
        <v>2</v>
      </c>
      <c r="E22" s="7" t="n">
        <v>0.59815402459871</v>
      </c>
      <c r="F22" s="7" t="n">
        <v>0.438021638330757</v>
      </c>
      <c r="G22" s="10" t="s">
        <v>251</v>
      </c>
      <c r="H22" s="19" t="s">
        <v>252</v>
      </c>
    </row>
    <row r="23" customFormat="false" ht="15" hidden="false" customHeight="false" outlineLevel="0" collapsed="false">
      <c r="A23" s="3" t="s">
        <v>21</v>
      </c>
      <c r="B23" s="34" t="s">
        <v>212</v>
      </c>
      <c r="C23" s="34" t="s">
        <v>223</v>
      </c>
      <c r="D23" s="14" t="n">
        <v>12</v>
      </c>
      <c r="E23" s="7" t="n">
        <v>0.55590152126824</v>
      </c>
      <c r="F23" s="7" t="n">
        <v>0.394736842105263</v>
      </c>
      <c r="G23" s="10" t="s">
        <v>251</v>
      </c>
      <c r="H23" s="19" t="s">
        <v>252</v>
      </c>
    </row>
    <row r="24" customFormat="false" ht="15" hidden="false" customHeight="false" outlineLevel="0" collapsed="false">
      <c r="A24" s="3" t="s">
        <v>21</v>
      </c>
      <c r="B24" s="34" t="s">
        <v>188</v>
      </c>
      <c r="C24" s="34" t="s">
        <v>195</v>
      </c>
      <c r="D24" s="14" t="n">
        <v>8</v>
      </c>
      <c r="E24" s="7" t="n">
        <v>0.747771642048025</v>
      </c>
      <c r="F24" s="7" t="n">
        <v>0.566037735849057</v>
      </c>
      <c r="G24" s="10" t="s">
        <v>251</v>
      </c>
      <c r="H24" s="19" t="s">
        <v>252</v>
      </c>
    </row>
    <row r="25" customFormat="false" ht="15" hidden="false" customHeight="false" outlineLevel="0" collapsed="false">
      <c r="A25" s="3" t="s">
        <v>21</v>
      </c>
      <c r="B25" s="34" t="s">
        <v>199</v>
      </c>
      <c r="C25" s="34" t="s">
        <v>200</v>
      </c>
      <c r="D25" s="14" t="n">
        <v>2</v>
      </c>
      <c r="E25" s="7" t="n">
        <v>0.821428571428571</v>
      </c>
      <c r="F25" s="7" t="n">
        <v>0.785714285714286</v>
      </c>
      <c r="G25" s="10" t="s">
        <v>251</v>
      </c>
      <c r="H25" s="19" t="s">
        <v>252</v>
      </c>
    </row>
    <row r="26" customFormat="false" ht="15" hidden="false" customHeight="false" outlineLevel="0" collapsed="false">
      <c r="A26" s="3" t="s">
        <v>21</v>
      </c>
      <c r="B26" s="34" t="s">
        <v>232</v>
      </c>
      <c r="C26" s="34" t="s">
        <v>233</v>
      </c>
      <c r="D26" s="14" t="n">
        <v>2</v>
      </c>
      <c r="E26" s="7" t="n">
        <v>0.832817337461301</v>
      </c>
      <c r="F26" s="7" t="n">
        <v>0.823529411764706</v>
      </c>
      <c r="G26" s="10" t="s">
        <v>253</v>
      </c>
      <c r="H26" s="19" t="s">
        <v>252</v>
      </c>
    </row>
    <row r="27" customFormat="false" ht="15" hidden="false" customHeight="false" outlineLevel="0" collapsed="false">
      <c r="A27" s="3" t="s">
        <v>21</v>
      </c>
      <c r="B27" s="34" t="s">
        <v>235</v>
      </c>
      <c r="C27" s="34" t="s">
        <v>236</v>
      </c>
      <c r="D27" s="14" t="n">
        <v>2</v>
      </c>
      <c r="E27" s="7" t="n">
        <v>0.846590909090909</v>
      </c>
      <c r="F27" s="7" t="n">
        <v>0.818181818181818</v>
      </c>
      <c r="G27" s="10" t="s">
        <v>253</v>
      </c>
      <c r="H27" s="19" t="s">
        <v>252</v>
      </c>
    </row>
    <row r="28" customFormat="false" ht="15" hidden="false" customHeight="false" outlineLevel="0" collapsed="false">
      <c r="A28" s="3" t="s">
        <v>143</v>
      </c>
      <c r="B28" s="34" t="s">
        <v>181</v>
      </c>
      <c r="C28" s="34" t="s">
        <v>185</v>
      </c>
      <c r="D28" s="14" t="n">
        <v>5</v>
      </c>
      <c r="E28" s="11" t="n">
        <v>141.332018016721</v>
      </c>
      <c r="F28" s="11" t="n">
        <v>74.7209302325581</v>
      </c>
      <c r="G28" s="10" t="s">
        <v>251</v>
      </c>
      <c r="H28" s="19" t="s">
        <v>252</v>
      </c>
    </row>
    <row r="29" customFormat="false" ht="15" hidden="false" customHeight="false" outlineLevel="0" collapsed="false">
      <c r="A29" s="3" t="s">
        <v>143</v>
      </c>
      <c r="B29" s="34" t="s">
        <v>224</v>
      </c>
      <c r="C29" s="34" t="s">
        <v>228</v>
      </c>
      <c r="D29" s="14" t="n">
        <v>5</v>
      </c>
      <c r="E29" s="11" t="n">
        <v>129.048019292163</v>
      </c>
      <c r="F29" s="11" t="n">
        <v>56.032</v>
      </c>
      <c r="G29" s="10" t="s">
        <v>251</v>
      </c>
      <c r="H29" s="19" t="s">
        <v>252</v>
      </c>
    </row>
    <row r="30" customFormat="false" ht="15" hidden="false" customHeight="false" outlineLevel="0" collapsed="false">
      <c r="A30" s="3" t="s">
        <v>143</v>
      </c>
      <c r="B30" s="34" t="s">
        <v>198</v>
      </c>
      <c r="C30" s="34" t="s">
        <v>201</v>
      </c>
      <c r="D30" s="14" t="n">
        <v>4</v>
      </c>
      <c r="E30" s="11" t="n">
        <v>179.884868297646</v>
      </c>
      <c r="F30" s="11" t="n">
        <v>154.060031595577</v>
      </c>
      <c r="G30" s="10" t="s">
        <v>251</v>
      </c>
      <c r="H30" s="19" t="s">
        <v>252</v>
      </c>
    </row>
    <row r="31" customFormat="false" ht="15" hidden="false" customHeight="false" outlineLevel="0" collapsed="false">
      <c r="A31" s="3" t="s">
        <v>143</v>
      </c>
      <c r="B31" s="34" t="s">
        <v>236</v>
      </c>
      <c r="C31" s="34" t="s">
        <v>239</v>
      </c>
      <c r="D31" s="14" t="n">
        <v>4</v>
      </c>
      <c r="E31" s="11" t="n">
        <v>103.480634823582</v>
      </c>
      <c r="F31" s="11" t="n">
        <v>23.915611814346</v>
      </c>
      <c r="G31" s="10" t="s">
        <v>251</v>
      </c>
      <c r="H31" s="19" t="s">
        <v>252</v>
      </c>
    </row>
    <row r="32" customFormat="false" ht="15" hidden="false" customHeight="false" outlineLevel="0" collapsed="false">
      <c r="A32" s="3" t="s">
        <v>143</v>
      </c>
      <c r="B32" s="34" t="s">
        <v>168</v>
      </c>
      <c r="C32" s="34" t="s">
        <v>170</v>
      </c>
      <c r="D32" s="14" t="n">
        <v>3</v>
      </c>
      <c r="E32" s="11" t="n">
        <v>174.356150793651</v>
      </c>
      <c r="F32" s="11" t="n">
        <v>164</v>
      </c>
      <c r="G32" s="10" t="s">
        <v>251</v>
      </c>
      <c r="H32" s="19" t="s">
        <v>252</v>
      </c>
    </row>
    <row r="33" customFormat="false" ht="15" hidden="false" customHeight="false" outlineLevel="0" collapsed="false">
      <c r="A33" s="3" t="s">
        <v>143</v>
      </c>
      <c r="B33" s="34" t="s">
        <v>210</v>
      </c>
      <c r="C33" s="34" t="s">
        <v>211</v>
      </c>
      <c r="D33" s="14" t="n">
        <v>2</v>
      </c>
      <c r="E33" s="11" t="n">
        <v>163.109995318352</v>
      </c>
      <c r="F33" s="11" t="n">
        <v>135.340823970038</v>
      </c>
      <c r="G33" s="10" t="s">
        <v>251</v>
      </c>
      <c r="H33" s="19" t="s">
        <v>252</v>
      </c>
    </row>
    <row r="34" customFormat="false" ht="15" hidden="false" customHeight="false" outlineLevel="0" collapsed="false">
      <c r="A34" s="3" t="s">
        <v>143</v>
      </c>
      <c r="B34" s="34" t="s">
        <v>233</v>
      </c>
      <c r="C34" s="34" t="s">
        <v>234</v>
      </c>
      <c r="D34" s="14" t="n">
        <v>2</v>
      </c>
      <c r="E34" s="11" t="n">
        <v>194.952050862852</v>
      </c>
      <c r="F34" s="11" t="n">
        <v>186.816</v>
      </c>
      <c r="G34" s="10" t="s">
        <v>253</v>
      </c>
      <c r="H34" s="19" t="s">
        <v>252</v>
      </c>
    </row>
    <row r="36" customFormat="false" ht="25.5" hidden="false" customHeight="true" outlineLevel="0" collapsed="false">
      <c r="A36" s="21" t="s">
        <v>254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</row>
  </sheetData>
  <mergeCells count="4">
    <mergeCell ref="A1:AN1"/>
    <mergeCell ref="A2:AN2"/>
    <mergeCell ref="A11:AN11"/>
    <mergeCell ref="A36:AN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A6572"/>
    <pageSetUpPr fitToPage="false"/>
  </sheetPr>
  <dimension ref="A1:H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6" min="2" style="0" width="13"/>
    <col collapsed="false" customWidth="true" hidden="false" outlineLevel="0" max="7" min="7" style="0" width="12"/>
    <col collapsed="false" customWidth="true" hidden="false" outlineLevel="0" max="8" min="8" style="0" width="40"/>
  </cols>
  <sheetData>
    <row r="1" customFormat="false" ht="30" hidden="false" customHeight="true" outlineLevel="0" collapsed="false">
      <c r="A1" s="1" t="s">
        <v>255</v>
      </c>
      <c r="B1" s="1"/>
      <c r="C1" s="1"/>
      <c r="D1" s="1"/>
      <c r="E1" s="1"/>
      <c r="F1" s="1"/>
      <c r="G1" s="1"/>
      <c r="H1" s="1"/>
    </row>
    <row r="2" customFormat="false" ht="27.75" hidden="false" customHeight="true" outlineLevel="0" collapsed="false">
      <c r="A2" s="2" t="s">
        <v>256</v>
      </c>
      <c r="B2" s="2"/>
      <c r="C2" s="2"/>
      <c r="D2" s="2"/>
      <c r="E2" s="2"/>
      <c r="F2" s="2"/>
      <c r="G2" s="2"/>
      <c r="H2" s="2"/>
    </row>
    <row r="4" customFormat="false" ht="24" hidden="false" customHeight="true" outlineLevel="0" collapsed="false">
      <c r="A4" s="44" t="s">
        <v>257</v>
      </c>
      <c r="B4" s="44"/>
      <c r="C4" s="44"/>
      <c r="D4" s="44"/>
      <c r="E4" s="44"/>
      <c r="F4" s="44"/>
      <c r="G4" s="44"/>
      <c r="H4" s="44"/>
    </row>
    <row r="5" customFormat="false" ht="30" hidden="false" customHeight="true" outlineLevel="0" collapsed="false">
      <c r="A5" s="6" t="s">
        <v>258</v>
      </c>
      <c r="B5" s="6" t="s">
        <v>259</v>
      </c>
      <c r="C5" s="6" t="s">
        <v>260</v>
      </c>
      <c r="D5" s="6" t="s">
        <v>261</v>
      </c>
      <c r="E5" s="6" t="s">
        <v>262</v>
      </c>
      <c r="F5" s="6" t="s">
        <v>263</v>
      </c>
      <c r="G5" s="6" t="s">
        <v>264</v>
      </c>
      <c r="H5" s="6" t="s">
        <v>265</v>
      </c>
    </row>
    <row r="6" customFormat="false" ht="15" hidden="false" customHeight="false" outlineLevel="0" collapsed="false">
      <c r="A6" s="3" t="s">
        <v>266</v>
      </c>
      <c r="B6" s="55" t="n">
        <v>0.9231</v>
      </c>
      <c r="C6" s="55" t="n">
        <v>1</v>
      </c>
      <c r="D6" s="55" t="n">
        <v>0.9718</v>
      </c>
      <c r="E6" s="55" t="n">
        <v>1</v>
      </c>
      <c r="F6" s="56" t="n">
        <v>0.7391</v>
      </c>
      <c r="G6" s="57" t="n">
        <f aca="false">IFERROR(AVERAGE(B6:F6),0)</f>
        <v>0.9268</v>
      </c>
    </row>
    <row r="7" customFormat="false" ht="15" hidden="false" customHeight="false" outlineLevel="0" collapsed="false">
      <c r="A7" s="3" t="s">
        <v>267</v>
      </c>
      <c r="B7" s="56" t="n">
        <v>0.7439</v>
      </c>
      <c r="C7" s="55" t="n">
        <v>0.9437</v>
      </c>
      <c r="D7" s="56" t="n">
        <v>0.7812</v>
      </c>
      <c r="E7" s="58" t="n">
        <v>0.8182</v>
      </c>
      <c r="F7" s="56" t="n">
        <v>0.5175</v>
      </c>
      <c r="G7" s="57" t="n">
        <f aca="false">IFERROR(AVERAGE(B7:F7),0)</f>
        <v>0.7609</v>
      </c>
    </row>
    <row r="8" customFormat="false" ht="15" hidden="false" customHeight="false" outlineLevel="0" collapsed="false">
      <c r="A8" s="3" t="s">
        <v>268</v>
      </c>
      <c r="B8" s="55" t="n">
        <v>0.96</v>
      </c>
      <c r="C8" s="55" t="n">
        <v>1</v>
      </c>
      <c r="D8" s="55" t="n">
        <v>0.9318</v>
      </c>
      <c r="E8" s="55" t="n">
        <v>0.9565</v>
      </c>
      <c r="F8" s="56" t="n">
        <v>0.7719</v>
      </c>
      <c r="G8" s="57" t="n">
        <f aca="false">IFERROR(AVERAGE(B8:F8),0)</f>
        <v>0.92404</v>
      </c>
    </row>
    <row r="9" customFormat="false" ht="15" hidden="false" customHeight="false" outlineLevel="0" collapsed="false">
      <c r="A9" s="3" t="s">
        <v>269</v>
      </c>
      <c r="B9" s="56" t="n">
        <v>0.5</v>
      </c>
      <c r="C9" s="55" t="n">
        <v>0.8833</v>
      </c>
      <c r="D9" s="56" t="n">
        <v>0.4717</v>
      </c>
      <c r="E9" s="56" t="n">
        <v>0.6809</v>
      </c>
      <c r="F9" s="56" t="n">
        <v>0.2478</v>
      </c>
      <c r="G9" s="57" t="n">
        <f aca="false">IFERROR(AVERAGE(B9:F9),0)</f>
        <v>0.55674</v>
      </c>
    </row>
    <row r="10" customFormat="false" ht="15" hidden="false" customHeight="false" outlineLevel="0" collapsed="false">
      <c r="A10" s="3" t="s">
        <v>270</v>
      </c>
      <c r="B10" s="55" t="n">
        <v>0.9375</v>
      </c>
      <c r="C10" s="55" t="n">
        <v>1</v>
      </c>
      <c r="D10" s="55" t="n">
        <v>0.9722</v>
      </c>
      <c r="E10" s="55" t="n">
        <v>1</v>
      </c>
      <c r="F10" s="56" t="n">
        <v>0.7969</v>
      </c>
      <c r="G10" s="57" t="n">
        <f aca="false">IFERROR(AVERAGE(B10:F10),0)</f>
        <v>0.94132</v>
      </c>
    </row>
    <row r="11" customFormat="false" ht="15" hidden="false" customHeight="false" outlineLevel="0" collapsed="false">
      <c r="A11" s="3" t="s">
        <v>271</v>
      </c>
      <c r="B11" s="57" t="n">
        <f aca="false">IFERROR(AVERAGE(B6:B10),0)</f>
        <v>0.8129</v>
      </c>
      <c r="C11" s="57" t="n">
        <f aca="false">IFERROR(AVERAGE(C6:C10),0)</f>
        <v>0.9654</v>
      </c>
      <c r="D11" s="57" t="n">
        <f aca="false">IFERROR(AVERAGE(D6:D10),0)</f>
        <v>0.82574</v>
      </c>
      <c r="E11" s="57" t="n">
        <f aca="false">IFERROR(AVERAGE(E6:E10),0)</f>
        <v>0.89112</v>
      </c>
      <c r="F11" s="57" t="n">
        <f aca="false">IFERROR(AVERAGE(F6:F10),0)</f>
        <v>0.61464</v>
      </c>
    </row>
    <row r="12" customFormat="false" ht="13.4" hidden="false" customHeight="false" outlineLevel="0" collapsed="false">
      <c r="A12" s="59" t="s">
        <v>272</v>
      </c>
      <c r="B12" s="59"/>
      <c r="C12" s="59"/>
      <c r="D12" s="59"/>
      <c r="E12" s="59"/>
      <c r="F12" s="59"/>
      <c r="G12" s="59"/>
      <c r="H12" s="59"/>
    </row>
    <row r="14" customFormat="false" ht="24" hidden="false" customHeight="true" outlineLevel="0" collapsed="false">
      <c r="A14" s="44" t="s">
        <v>273</v>
      </c>
      <c r="B14" s="44"/>
      <c r="C14" s="44"/>
      <c r="D14" s="44"/>
      <c r="E14" s="44"/>
      <c r="F14" s="44"/>
      <c r="G14" s="44"/>
      <c r="H14" s="44"/>
    </row>
    <row r="15" customFormat="false" ht="30" hidden="false" customHeight="true" outlineLevel="0" collapsed="false">
      <c r="A15" s="6" t="s">
        <v>258</v>
      </c>
      <c r="B15" s="6" t="s">
        <v>259</v>
      </c>
      <c r="C15" s="6" t="s">
        <v>260</v>
      </c>
      <c r="D15" s="6" t="s">
        <v>261</v>
      </c>
      <c r="E15" s="6" t="s">
        <v>262</v>
      </c>
      <c r="F15" s="6" t="s">
        <v>263</v>
      </c>
      <c r="G15" s="6" t="s">
        <v>264</v>
      </c>
      <c r="H15" s="6" t="s">
        <v>265</v>
      </c>
    </row>
    <row r="16" customFormat="false" ht="15" hidden="false" customHeight="false" outlineLevel="0" collapsed="false">
      <c r="A16" s="3" t="s">
        <v>266</v>
      </c>
      <c r="B16" s="60" t="n">
        <v>1203.67</v>
      </c>
      <c r="C16" s="61" t="n">
        <v>2265.05</v>
      </c>
      <c r="D16" s="62" t="n">
        <v>2349.78</v>
      </c>
      <c r="E16" s="60" t="n">
        <v>803.75</v>
      </c>
      <c r="F16" s="60" t="n">
        <v>885.71</v>
      </c>
      <c r="G16" s="63" t="n">
        <f aca="false">IFERROR(SUM(B16:F16),0)</f>
        <v>7507.96</v>
      </c>
    </row>
    <row r="17" customFormat="false" ht="15" hidden="false" customHeight="false" outlineLevel="0" collapsed="false">
      <c r="A17" s="3" t="s">
        <v>267</v>
      </c>
      <c r="B17" s="62" t="n">
        <v>2736.92</v>
      </c>
      <c r="C17" s="61" t="n">
        <v>5993.97</v>
      </c>
      <c r="D17" s="60" t="n">
        <v>3242.34</v>
      </c>
      <c r="E17" s="60" t="n">
        <v>2191.9</v>
      </c>
      <c r="F17" s="62" t="n">
        <v>4655.69</v>
      </c>
      <c r="G17" s="63" t="n">
        <f aca="false">IFERROR(SUM(B17:F17),0)</f>
        <v>18820.82</v>
      </c>
    </row>
    <row r="18" customFormat="false" ht="15" hidden="false" customHeight="false" outlineLevel="0" collapsed="false">
      <c r="A18" s="3" t="s">
        <v>268</v>
      </c>
      <c r="B18" s="60" t="n">
        <v>881.35</v>
      </c>
      <c r="C18" s="61" t="n">
        <v>2490.06</v>
      </c>
      <c r="D18" s="61" t="n">
        <v>1673.36</v>
      </c>
      <c r="E18" s="60" t="n">
        <v>728.06</v>
      </c>
      <c r="F18" s="60" t="n">
        <v>2164.37</v>
      </c>
      <c r="G18" s="63" t="n">
        <f aca="false">IFERROR(SUM(B18:F18),0)</f>
        <v>7937.2</v>
      </c>
    </row>
    <row r="19" customFormat="false" ht="15" hidden="false" customHeight="false" outlineLevel="0" collapsed="false">
      <c r="A19" s="3" t="s">
        <v>269</v>
      </c>
      <c r="B19" s="61" t="n">
        <v>2443.69</v>
      </c>
      <c r="C19" s="62" t="n">
        <v>4168.43</v>
      </c>
      <c r="D19" s="61" t="n">
        <v>3616.19</v>
      </c>
      <c r="E19" s="60" t="n">
        <v>1282.79</v>
      </c>
      <c r="F19" s="61" t="n">
        <v>4760.91</v>
      </c>
      <c r="G19" s="63" t="n">
        <f aca="false">IFERROR(SUM(B19:F19),0)</f>
        <v>16272.01</v>
      </c>
    </row>
    <row r="20" customFormat="false" ht="15" hidden="false" customHeight="false" outlineLevel="0" collapsed="false">
      <c r="A20" s="3" t="s">
        <v>270</v>
      </c>
      <c r="B20" s="60" t="n">
        <v>425.93</v>
      </c>
      <c r="C20" s="60" t="n">
        <v>1041.05</v>
      </c>
      <c r="D20" s="61" t="n">
        <v>1247.62</v>
      </c>
      <c r="E20" s="60" t="n">
        <v>308.03</v>
      </c>
      <c r="F20" s="61" t="n">
        <v>2427.12</v>
      </c>
      <c r="G20" s="63" t="n">
        <f aca="false">IFERROR(SUM(B20:F20),0)</f>
        <v>5449.75</v>
      </c>
    </row>
    <row r="21" customFormat="false" ht="15" hidden="false" customHeight="false" outlineLevel="0" collapsed="false">
      <c r="A21" s="3" t="s">
        <v>271</v>
      </c>
      <c r="B21" s="63" t="n">
        <f aca="false">IFERROR(SUM(B16:B20),0)</f>
        <v>7691.56</v>
      </c>
      <c r="C21" s="63" t="n">
        <f aca="false">IFERROR(SUM(C16:C20),0)</f>
        <v>15958.56</v>
      </c>
      <c r="D21" s="63" t="n">
        <f aca="false">IFERROR(SUM(D16:D20),0)</f>
        <v>12129.29</v>
      </c>
      <c r="E21" s="63" t="n">
        <f aca="false">IFERROR(SUM(E16:E20),0)</f>
        <v>5314.53</v>
      </c>
      <c r="F21" s="63" t="n">
        <f aca="false">IFERROR(SUM(F16:F20),0)</f>
        <v>14893.8</v>
      </c>
    </row>
    <row r="22" customFormat="false" ht="13.4" hidden="false" customHeight="false" outlineLevel="0" collapsed="false">
      <c r="A22" s="59" t="s">
        <v>274</v>
      </c>
      <c r="B22" s="59"/>
      <c r="C22" s="59"/>
      <c r="D22" s="59"/>
      <c r="E22" s="59"/>
      <c r="F22" s="59"/>
      <c r="G22" s="59"/>
      <c r="H22" s="59"/>
    </row>
    <row r="24" customFormat="false" ht="25.5" hidden="false" customHeight="true" outlineLevel="0" collapsed="false">
      <c r="A24" s="21" t="s">
        <v>275</v>
      </c>
      <c r="B24" s="21"/>
      <c r="C24" s="21"/>
      <c r="D24" s="21"/>
      <c r="E24" s="21"/>
      <c r="F24" s="21"/>
      <c r="G24" s="21"/>
      <c r="H24" s="21"/>
    </row>
  </sheetData>
  <mergeCells count="7">
    <mergeCell ref="A1:H1"/>
    <mergeCell ref="A2:H2"/>
    <mergeCell ref="A4:H4"/>
    <mergeCell ref="A12:H12"/>
    <mergeCell ref="A14:H14"/>
    <mergeCell ref="A22:H22"/>
    <mergeCell ref="A24:H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A6572"/>
    <pageSetUpPr fitToPage="false"/>
  </sheetPr>
  <dimension ref="A1:I1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6" min="5" style="0" width="12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34"/>
  </cols>
  <sheetData>
    <row r="1" customFormat="false" ht="30" hidden="false" customHeight="true" outlineLevel="0" collapsed="false">
      <c r="A1" s="1" t="s">
        <v>276</v>
      </c>
      <c r="B1" s="1"/>
      <c r="C1" s="1"/>
      <c r="D1" s="1"/>
      <c r="E1" s="1"/>
      <c r="F1" s="1"/>
      <c r="G1" s="1"/>
      <c r="H1" s="1"/>
      <c r="I1" s="1"/>
    </row>
    <row r="2" customFormat="false" ht="27.75" hidden="false" customHeight="true" outlineLevel="0" collapsed="false">
      <c r="A2" s="2" t="s">
        <v>277</v>
      </c>
      <c r="B2" s="2"/>
      <c r="C2" s="2"/>
      <c r="D2" s="2"/>
      <c r="E2" s="2"/>
      <c r="F2" s="2"/>
      <c r="G2" s="2"/>
      <c r="H2" s="2"/>
      <c r="I2" s="2"/>
    </row>
    <row r="4" customFormat="false" ht="24" hidden="false" customHeight="true" outlineLevel="0" collapsed="false">
      <c r="A4" s="44" t="s">
        <v>278</v>
      </c>
      <c r="B4" s="44"/>
      <c r="C4" s="44"/>
      <c r="D4" s="44"/>
      <c r="E4" s="44"/>
      <c r="F4" s="44"/>
      <c r="G4" s="44"/>
      <c r="H4" s="44"/>
      <c r="I4" s="44"/>
    </row>
    <row r="5" customFormat="false" ht="30" hidden="false" customHeight="true" outlineLevel="0" collapsed="false">
      <c r="A5" s="6" t="s">
        <v>279</v>
      </c>
      <c r="B5" s="6" t="s">
        <v>280</v>
      </c>
      <c r="C5" s="6" t="s">
        <v>7</v>
      </c>
      <c r="D5" s="6" t="s">
        <v>281</v>
      </c>
      <c r="E5" s="6" t="s">
        <v>282</v>
      </c>
      <c r="F5" s="6" t="s">
        <v>283</v>
      </c>
      <c r="G5" s="6" t="s">
        <v>284</v>
      </c>
      <c r="H5" s="6" t="s">
        <v>285</v>
      </c>
      <c r="I5" s="6" t="s">
        <v>265</v>
      </c>
    </row>
    <row r="6" customFormat="false" ht="15" hidden="false" customHeight="false" outlineLevel="0" collapsed="false">
      <c r="A6" s="45" t="s">
        <v>286</v>
      </c>
      <c r="B6" s="12" t="n">
        <v>4.0793</v>
      </c>
      <c r="C6" s="8" t="s">
        <v>35</v>
      </c>
      <c r="D6" s="7" t="n">
        <v>0.442048517520216</v>
      </c>
      <c r="E6" s="12" t="n">
        <f aca="false">INDEX(目标与口径!$F$5:$F$36,MATCH("delivery_rating",目标与口径!$A$5:$A$36,0))</f>
        <v>4.8</v>
      </c>
      <c r="F6" s="12" t="n">
        <v>-0.720731707317073</v>
      </c>
      <c r="G6" s="64" t="n">
        <v>0.32</v>
      </c>
      <c r="H6" s="7" t="n">
        <v>0.480878763222132</v>
      </c>
      <c r="I6" s="19"/>
    </row>
    <row r="7" customFormat="false" ht="15" hidden="false" customHeight="false" outlineLevel="0" collapsed="false">
      <c r="A7" s="45" t="s">
        <v>287</v>
      </c>
      <c r="B7" s="12" t="n">
        <v>4.156</v>
      </c>
      <c r="C7" s="8" t="s">
        <v>35</v>
      </c>
      <c r="D7" s="7" t="n">
        <v>0.380053908355795</v>
      </c>
      <c r="E7" s="12" t="n">
        <f aca="false">INDEX(目标与口径!$F$5:$F$36,MATCH("delivery_rating",目标与口径!$A$5:$A$36,0))</f>
        <v>4.8</v>
      </c>
      <c r="F7" s="12" t="n">
        <v>-0.643971631205674</v>
      </c>
      <c r="G7" s="64" t="n">
        <v>0.24</v>
      </c>
      <c r="H7" s="7" t="n">
        <v>0.850284784377543</v>
      </c>
      <c r="I7" s="19"/>
    </row>
    <row r="8" customFormat="false" ht="15" hidden="false" customHeight="false" outlineLevel="0" collapsed="false">
      <c r="A8" s="45" t="s">
        <v>288</v>
      </c>
      <c r="B8" s="12" t="n">
        <v>4.2424</v>
      </c>
      <c r="C8" s="8" t="s">
        <v>35</v>
      </c>
      <c r="D8" s="7" t="n">
        <v>0.177897574123989</v>
      </c>
      <c r="E8" s="12" t="n">
        <f aca="false">INDEX(目标与口径!$F$5:$F$36,MATCH("delivery_rating",目标与口径!$A$5:$A$36,0))</f>
        <v>4.8</v>
      </c>
      <c r="F8" s="12" t="n">
        <v>-0.557575757575758</v>
      </c>
      <c r="G8" s="64" t="n">
        <v>0.1</v>
      </c>
      <c r="H8" s="7" t="n">
        <v>1</v>
      </c>
      <c r="I8" s="19"/>
    </row>
    <row r="9" customFormat="false" ht="13.4" hidden="false" customHeight="false" outlineLevel="0" collapsed="false">
      <c r="A9" s="59" t="s">
        <v>289</v>
      </c>
      <c r="B9" s="59"/>
      <c r="C9" s="59"/>
      <c r="D9" s="59"/>
      <c r="E9" s="59"/>
      <c r="F9" s="59"/>
      <c r="G9" s="59"/>
      <c r="H9" s="59"/>
      <c r="I9" s="59"/>
    </row>
    <row r="11" customFormat="false" ht="24" hidden="false" customHeight="true" outlineLevel="0" collapsed="false">
      <c r="A11" s="44" t="s">
        <v>290</v>
      </c>
      <c r="B11" s="44"/>
      <c r="C11" s="44"/>
      <c r="D11" s="44"/>
      <c r="E11" s="44"/>
      <c r="F11" s="44"/>
      <c r="G11" s="44"/>
      <c r="H11" s="44"/>
      <c r="I11" s="44"/>
    </row>
    <row r="12" customFormat="false" ht="30" hidden="false" customHeight="true" outlineLevel="0" collapsed="false">
      <c r="A12" s="6" t="s">
        <v>258</v>
      </c>
      <c r="B12" s="6" t="s">
        <v>280</v>
      </c>
      <c r="C12" s="6" t="s">
        <v>7</v>
      </c>
      <c r="D12" s="6" t="s">
        <v>281</v>
      </c>
      <c r="E12" s="6" t="s">
        <v>282</v>
      </c>
      <c r="F12" s="6" t="s">
        <v>283</v>
      </c>
      <c r="G12" s="6" t="s">
        <v>284</v>
      </c>
      <c r="H12" s="6" t="s">
        <v>285</v>
      </c>
      <c r="I12" s="6" t="s">
        <v>265</v>
      </c>
    </row>
    <row r="13" customFormat="false" ht="15" hidden="false" customHeight="false" outlineLevel="0" collapsed="false">
      <c r="A13" s="45" t="s">
        <v>291</v>
      </c>
      <c r="B13" s="12" t="n">
        <v>3.7345</v>
      </c>
      <c r="C13" s="8" t="s">
        <v>35</v>
      </c>
      <c r="D13" s="7" t="n">
        <v>0.290635235499772</v>
      </c>
      <c r="E13" s="12" t="n">
        <f aca="false">INDEX(目标与口径!$F$5:$F$36,MATCH("delivery_rating",目标与口径!$A$5:$A$36,0))</f>
        <v>4.8</v>
      </c>
      <c r="F13" s="12" t="n">
        <v>-1.06548672566372</v>
      </c>
      <c r="G13" s="64" t="n">
        <v>0.31</v>
      </c>
      <c r="H13" s="7" t="n">
        <v>0.471585966038014</v>
      </c>
      <c r="I13" s="19"/>
    </row>
    <row r="14" customFormat="false" ht="15" hidden="false" customHeight="false" outlineLevel="0" collapsed="false">
      <c r="A14" s="45" t="s">
        <v>292</v>
      </c>
      <c r="B14" s="12" t="n">
        <v>4.1053</v>
      </c>
      <c r="C14" s="8" t="s">
        <v>35</v>
      </c>
      <c r="D14" s="7" t="n">
        <v>0.336159666384104</v>
      </c>
      <c r="E14" s="12" t="n">
        <f aca="false">INDEX(目标与口径!$F$5:$F$36,MATCH("delivery_rating",目标与口径!$A$5:$A$36,0))</f>
        <v>4.8</v>
      </c>
      <c r="F14" s="12" t="n">
        <v>-0.694736842105263</v>
      </c>
      <c r="G14" s="64" t="n">
        <v>0.23</v>
      </c>
      <c r="H14" s="7" t="n">
        <v>0.827242259368186</v>
      </c>
      <c r="I14" s="19"/>
    </row>
    <row r="15" customFormat="false" ht="15" hidden="false" customHeight="false" outlineLevel="0" collapsed="false">
      <c r="A15" s="45" t="s">
        <v>293</v>
      </c>
      <c r="B15" s="12" t="n">
        <v>4.4386</v>
      </c>
      <c r="C15" s="8" t="s">
        <v>35</v>
      </c>
      <c r="D15" s="7" t="n">
        <v>0.141766751078004</v>
      </c>
      <c r="E15" s="12" t="n">
        <f aca="false">INDEX(目标与口径!$F$5:$F$36,MATCH("delivery_rating",目标与口径!$A$5:$A$36,0))</f>
        <v>4.8</v>
      </c>
      <c r="F15" s="12" t="n">
        <v>-0.36140350877193</v>
      </c>
      <c r="G15" s="64" t="n">
        <v>0.05</v>
      </c>
      <c r="H15" s="7" t="n">
        <v>0.905266816971078</v>
      </c>
      <c r="I15" s="19"/>
    </row>
    <row r="16" customFormat="false" ht="15" hidden="false" customHeight="false" outlineLevel="0" collapsed="false">
      <c r="A16" s="45" t="s">
        <v>294</v>
      </c>
      <c r="B16" s="12" t="n">
        <v>4.5652</v>
      </c>
      <c r="C16" s="8" t="s">
        <v>34</v>
      </c>
      <c r="D16" s="7" t="n">
        <v>0.134100072623042</v>
      </c>
      <c r="E16" s="12" t="n">
        <f aca="false">INDEX(目标与口径!$F$5:$F$36,MATCH("delivery_rating",目标与口径!$A$5:$A$36,0))</f>
        <v>4.8</v>
      </c>
      <c r="F16" s="12" t="n">
        <v>-0.234782608695652</v>
      </c>
      <c r="G16" s="64" t="n">
        <v>0.03</v>
      </c>
      <c r="H16" s="7" t="n">
        <v>0.953213602960641</v>
      </c>
      <c r="I16" s="19"/>
    </row>
    <row r="17" customFormat="false" ht="15" hidden="false" customHeight="false" outlineLevel="0" collapsed="false">
      <c r="A17" s="45" t="s">
        <v>295</v>
      </c>
      <c r="B17" s="12" t="n">
        <v>4.4844</v>
      </c>
      <c r="C17" s="8" t="s">
        <v>35</v>
      </c>
      <c r="D17" s="7" t="n">
        <v>0.0973382744150772</v>
      </c>
      <c r="E17" s="12" t="n">
        <f aca="false">INDEX(目标与口径!$F$5:$F$36,MATCH("delivery_rating",目标与口径!$A$5:$A$36,0))</f>
        <v>4.8</v>
      </c>
      <c r="F17" s="12" t="n">
        <v>-0.315625</v>
      </c>
      <c r="G17" s="64" t="n">
        <v>0.03</v>
      </c>
      <c r="H17" s="7" t="n">
        <v>1</v>
      </c>
      <c r="I17" s="19"/>
    </row>
    <row r="18" customFormat="false" ht="13.4" hidden="false" customHeight="false" outlineLevel="0" collapsed="false">
      <c r="A18" s="59" t="s">
        <v>296</v>
      </c>
      <c r="B18" s="59"/>
      <c r="C18" s="59"/>
      <c r="D18" s="59"/>
      <c r="E18" s="59"/>
      <c r="F18" s="59"/>
      <c r="G18" s="59"/>
      <c r="H18" s="59"/>
      <c r="I18" s="59"/>
    </row>
    <row r="20" customFormat="false" ht="24" hidden="false" customHeight="true" outlineLevel="0" collapsed="false">
      <c r="A20" s="44" t="s">
        <v>297</v>
      </c>
      <c r="B20" s="44"/>
      <c r="C20" s="44"/>
      <c r="D20" s="44"/>
      <c r="E20" s="44"/>
      <c r="F20" s="44"/>
      <c r="G20" s="44"/>
      <c r="H20" s="44"/>
      <c r="I20" s="44"/>
    </row>
    <row r="21" customFormat="false" ht="30" hidden="false" customHeight="true" outlineLevel="0" collapsed="false">
      <c r="A21" s="6" t="s">
        <v>258</v>
      </c>
      <c r="B21" s="6" t="s">
        <v>280</v>
      </c>
      <c r="C21" s="6" t="s">
        <v>7</v>
      </c>
      <c r="D21" s="6" t="s">
        <v>281</v>
      </c>
      <c r="E21" s="6" t="s">
        <v>282</v>
      </c>
      <c r="F21" s="6" t="s">
        <v>283</v>
      </c>
      <c r="G21" s="6" t="s">
        <v>284</v>
      </c>
      <c r="H21" s="6" t="s">
        <v>285</v>
      </c>
      <c r="I21" s="6" t="s">
        <v>265</v>
      </c>
    </row>
    <row r="22" customFormat="false" ht="15" hidden="false" customHeight="false" outlineLevel="0" collapsed="false">
      <c r="A22" s="45" t="s">
        <v>291</v>
      </c>
      <c r="B22" s="7" t="n">
        <v>0.5507</v>
      </c>
      <c r="C22" s="8" t="s">
        <v>35</v>
      </c>
      <c r="D22" s="7" t="n">
        <v>0.290635235499772</v>
      </c>
      <c r="E22" s="7" t="n">
        <f aca="false">INDEX(目标与口径!$F$5:$F$36,MATCH("speed_hit_rate",目标与口径!$A$5:$A$36,0))</f>
        <v>0.9</v>
      </c>
      <c r="F22" s="7" t="n">
        <v>-0.349339207048458</v>
      </c>
      <c r="G22" s="64" t="n">
        <v>10.15</v>
      </c>
      <c r="H22" s="7" t="n">
        <v>0.702674368334958</v>
      </c>
      <c r="I22" s="19"/>
    </row>
    <row r="23" customFormat="false" ht="15" hidden="false" customHeight="false" outlineLevel="0" collapsed="false">
      <c r="A23" s="45" t="s">
        <v>292</v>
      </c>
      <c r="B23" s="7" t="n">
        <v>0.7722</v>
      </c>
      <c r="C23" s="8" t="s">
        <v>35</v>
      </c>
      <c r="D23" s="7" t="n">
        <v>0.336159666384104</v>
      </c>
      <c r="E23" s="7" t="n">
        <f aca="false">INDEX(目标与口径!$F$5:$F$36,MATCH("speed_hit_rate",目标与口径!$A$5:$A$36,0))</f>
        <v>0.9</v>
      </c>
      <c r="F23" s="7" t="n">
        <v>-0.127799227799228</v>
      </c>
      <c r="G23" s="64" t="n">
        <v>4.3</v>
      </c>
      <c r="H23" s="7" t="n">
        <v>1</v>
      </c>
      <c r="I23" s="19"/>
    </row>
    <row r="24" customFormat="false" ht="15" hidden="false" customHeight="false" outlineLevel="0" collapsed="false">
      <c r="A24" s="45" t="s">
        <v>295</v>
      </c>
      <c r="B24" s="7" t="n">
        <v>0.9032</v>
      </c>
      <c r="C24" s="8" t="s">
        <v>33</v>
      </c>
      <c r="D24" s="7" t="n">
        <v>0.0973382744150772</v>
      </c>
      <c r="E24" s="7" t="n">
        <f aca="false">INDEX(目标与口径!$F$5:$F$36,MATCH("speed_hit_rate",目标与口径!$A$5:$A$36,0))</f>
        <v>0.9</v>
      </c>
      <c r="F24" s="7" t="n">
        <v>0.00322580645161295</v>
      </c>
      <c r="G24" s="64" t="n">
        <v>-0.03</v>
      </c>
      <c r="H24" s="7" t="n">
        <v>1</v>
      </c>
      <c r="I24" s="19"/>
    </row>
    <row r="25" customFormat="false" ht="15" hidden="false" customHeight="false" outlineLevel="0" collapsed="false">
      <c r="A25" s="45" t="s">
        <v>293</v>
      </c>
      <c r="B25" s="7" t="n">
        <v>0.9178</v>
      </c>
      <c r="C25" s="8" t="s">
        <v>33</v>
      </c>
      <c r="D25" s="7" t="n">
        <v>0.141766751078004</v>
      </c>
      <c r="E25" s="7" t="n">
        <f aca="false">INDEX(目标与口径!$F$5:$F$36,MATCH("speed_hit_rate",目标与口径!$A$5:$A$36,0))</f>
        <v>0.9</v>
      </c>
      <c r="F25" s="7" t="n">
        <v>0.0178082191780823</v>
      </c>
      <c r="G25" s="64" t="n">
        <v>-0.25</v>
      </c>
      <c r="H25" s="7" t="n">
        <v>1</v>
      </c>
      <c r="I25" s="19"/>
    </row>
    <row r="26" customFormat="false" ht="15" hidden="false" customHeight="false" outlineLevel="0" collapsed="false">
      <c r="A26" s="45" t="s">
        <v>294</v>
      </c>
      <c r="B26" s="7" t="n">
        <v>0.9495</v>
      </c>
      <c r="C26" s="8" t="s">
        <v>33</v>
      </c>
      <c r="D26" s="7" t="n">
        <v>0.134100072623042</v>
      </c>
      <c r="E26" s="7" t="n">
        <f aca="false">INDEX(目标与口径!$F$5:$F$36,MATCH("speed_hit_rate",目标与口径!$A$5:$A$36,0))</f>
        <v>0.9</v>
      </c>
      <c r="F26" s="7" t="n">
        <v>0.0495412844036697</v>
      </c>
      <c r="G26" s="64" t="n">
        <v>-0.66</v>
      </c>
      <c r="H26" s="7" t="n">
        <v>1</v>
      </c>
      <c r="I26" s="19"/>
    </row>
    <row r="27" customFormat="false" ht="13.4" hidden="false" customHeight="false" outlineLevel="0" collapsed="false">
      <c r="A27" s="59" t="s">
        <v>298</v>
      </c>
      <c r="B27" s="59"/>
      <c r="C27" s="59"/>
      <c r="D27" s="59"/>
      <c r="E27" s="59"/>
      <c r="F27" s="59"/>
      <c r="G27" s="59"/>
      <c r="H27" s="59"/>
      <c r="I27" s="59"/>
    </row>
    <row r="29" customFormat="false" ht="24" hidden="false" customHeight="true" outlineLevel="0" collapsed="false">
      <c r="A29" s="44" t="s">
        <v>299</v>
      </c>
      <c r="B29" s="44"/>
      <c r="C29" s="44"/>
      <c r="D29" s="44"/>
      <c r="E29" s="44"/>
      <c r="F29" s="44"/>
      <c r="G29" s="44"/>
      <c r="H29" s="44"/>
      <c r="I29" s="44"/>
    </row>
    <row r="30" customFormat="false" ht="30" hidden="false" customHeight="true" outlineLevel="0" collapsed="false">
      <c r="A30" s="6" t="s">
        <v>300</v>
      </c>
      <c r="B30" s="6" t="s">
        <v>280</v>
      </c>
      <c r="C30" s="6" t="s">
        <v>7</v>
      </c>
      <c r="D30" s="6" t="s">
        <v>281</v>
      </c>
      <c r="E30" s="6" t="s">
        <v>282</v>
      </c>
      <c r="F30" s="6" t="s">
        <v>283</v>
      </c>
      <c r="G30" s="6" t="s">
        <v>284</v>
      </c>
      <c r="H30" s="6" t="s">
        <v>285</v>
      </c>
      <c r="I30" s="6" t="s">
        <v>265</v>
      </c>
    </row>
    <row r="31" customFormat="false" ht="15" hidden="false" customHeight="false" outlineLevel="0" collapsed="false">
      <c r="A31" s="45" t="s">
        <v>301</v>
      </c>
      <c r="B31" s="7" t="n">
        <v>0.5364</v>
      </c>
      <c r="C31" s="8" t="s">
        <v>35</v>
      </c>
      <c r="D31" s="7" t="n">
        <v>0.266018953435162</v>
      </c>
      <c r="E31" s="7" t="n">
        <f aca="false">INDEX(目标与口径!$F$5:$F$36,MATCH("speed_hit_rate",目标与口径!$A$5:$A$36,0))</f>
        <v>0.9</v>
      </c>
      <c r="F31" s="7" t="n">
        <v>-0.363611859838275</v>
      </c>
      <c r="G31" s="64" t="n">
        <v>9.67</v>
      </c>
      <c r="H31" s="7" t="n">
        <v>0.627847340899581</v>
      </c>
      <c r="I31" s="19"/>
    </row>
    <row r="32" customFormat="false" ht="15" hidden="false" customHeight="false" outlineLevel="0" collapsed="false">
      <c r="A32" s="45" t="s">
        <v>302</v>
      </c>
      <c r="B32" s="7" t="n">
        <v>0.7649</v>
      </c>
      <c r="C32" s="8" t="s">
        <v>35</v>
      </c>
      <c r="D32" s="7" t="n">
        <v>0.216641893385944</v>
      </c>
      <c r="E32" s="7" t="n">
        <f aca="false">INDEX(目标与口径!$F$5:$F$36,MATCH("speed_hit_rate",目标与口径!$A$5:$A$36,0))</f>
        <v>0.9</v>
      </c>
      <c r="F32" s="7" t="n">
        <v>-0.135127478753541</v>
      </c>
      <c r="G32" s="64" t="n">
        <v>2.93</v>
      </c>
      <c r="H32" s="7" t="n">
        <v>0.817863071095732</v>
      </c>
      <c r="I32" s="19"/>
    </row>
    <row r="33" customFormat="false" ht="15" hidden="false" customHeight="false" outlineLevel="0" collapsed="false">
      <c r="A33" s="45" t="s">
        <v>303</v>
      </c>
      <c r="B33" s="7" t="n">
        <v>0.7391</v>
      </c>
      <c r="C33" s="8" t="s">
        <v>35</v>
      </c>
      <c r="D33" s="7" t="n">
        <v>0.137379361981748</v>
      </c>
      <c r="E33" s="7" t="n">
        <f aca="false">INDEX(目标与口径!$F$5:$F$36,MATCH("speed_hit_rate",目标与口径!$A$5:$A$36,0))</f>
        <v>0.9</v>
      </c>
      <c r="F33" s="7" t="n">
        <v>-0.160869565217391</v>
      </c>
      <c r="G33" s="64" t="n">
        <v>2.21</v>
      </c>
      <c r="H33" s="7" t="n">
        <v>0.961312499404956</v>
      </c>
      <c r="I33" s="19"/>
    </row>
    <row r="34" customFormat="false" ht="15" hidden="false" customHeight="false" outlineLevel="0" collapsed="false">
      <c r="A34" s="45" t="s">
        <v>304</v>
      </c>
      <c r="B34" s="7" t="n">
        <v>0.8372</v>
      </c>
      <c r="C34" s="8" t="s">
        <v>34</v>
      </c>
      <c r="D34" s="7" t="n">
        <v>0.0949231028078646</v>
      </c>
      <c r="E34" s="7" t="n">
        <f aca="false">INDEX(目标与口径!$F$5:$F$36,MATCH("speed_hit_rate",目标与口径!$A$5:$A$36,0))</f>
        <v>0.9</v>
      </c>
      <c r="F34" s="7" t="n">
        <v>-0.0627906976744185</v>
      </c>
      <c r="G34" s="64" t="n">
        <v>0.6</v>
      </c>
      <c r="H34" s="7" t="n">
        <v>1</v>
      </c>
      <c r="I34" s="19"/>
    </row>
    <row r="35" customFormat="false" ht="15" hidden="false" customHeight="false" outlineLevel="0" collapsed="false">
      <c r="A35" s="45" t="s">
        <v>305</v>
      </c>
      <c r="B35" s="7" t="n">
        <v>0.9475</v>
      </c>
      <c r="C35" s="8" t="s">
        <v>33</v>
      </c>
      <c r="D35" s="7" t="n">
        <v>0.285036688389279</v>
      </c>
      <c r="E35" s="7" t="n">
        <f aca="false">INDEX(目标与口径!$F$5:$F$36,MATCH("speed_hit_rate",目标与口径!$A$5:$A$36,0))</f>
        <v>0.9</v>
      </c>
      <c r="F35" s="7" t="n">
        <v>0.0474885844748859</v>
      </c>
      <c r="G35" s="64" t="n">
        <v>-1.35</v>
      </c>
      <c r="H35" s="7" t="n">
        <v>1</v>
      </c>
      <c r="I35" s="19"/>
    </row>
    <row r="36" customFormat="false" ht="13.4" hidden="false" customHeight="false" outlineLevel="0" collapsed="false">
      <c r="A36" s="59" t="s">
        <v>306</v>
      </c>
      <c r="B36" s="59"/>
      <c r="C36" s="59"/>
      <c r="D36" s="59"/>
      <c r="E36" s="59"/>
      <c r="F36" s="59"/>
      <c r="G36" s="59"/>
      <c r="H36" s="59"/>
      <c r="I36" s="59"/>
    </row>
    <row r="38" customFormat="false" ht="24" hidden="false" customHeight="true" outlineLevel="0" collapsed="false">
      <c r="A38" s="44" t="s">
        <v>307</v>
      </c>
      <c r="B38" s="44"/>
      <c r="C38" s="44"/>
      <c r="D38" s="44"/>
      <c r="E38" s="44"/>
      <c r="F38" s="44"/>
      <c r="G38" s="44"/>
      <c r="H38" s="44"/>
      <c r="I38" s="44"/>
    </row>
    <row r="39" customFormat="false" ht="30" hidden="false" customHeight="true" outlineLevel="0" collapsed="false">
      <c r="A39" s="6" t="s">
        <v>258</v>
      </c>
      <c r="B39" s="6" t="s">
        <v>280</v>
      </c>
      <c r="C39" s="6" t="s">
        <v>7</v>
      </c>
      <c r="D39" s="6" t="s">
        <v>281</v>
      </c>
      <c r="E39" s="6" t="s">
        <v>282</v>
      </c>
      <c r="F39" s="6" t="s">
        <v>283</v>
      </c>
      <c r="G39" s="6" t="s">
        <v>284</v>
      </c>
      <c r="H39" s="6" t="s">
        <v>285</v>
      </c>
      <c r="I39" s="6" t="s">
        <v>265</v>
      </c>
    </row>
    <row r="40" customFormat="false" ht="15" hidden="false" customHeight="false" outlineLevel="0" collapsed="false">
      <c r="A40" s="45" t="s">
        <v>294</v>
      </c>
      <c r="B40" s="7" t="n">
        <v>0.2857</v>
      </c>
      <c r="C40" s="8" t="s">
        <v>35</v>
      </c>
      <c r="D40" s="7" t="n">
        <v>0.134100072623042</v>
      </c>
      <c r="E40" s="7" t="n">
        <f aca="false">INDEX(目标与口径!$F$5:$F$36,MATCH("late_rate",目标与口径!$A$5:$A$36,0))</f>
        <v>0.02</v>
      </c>
      <c r="F40" s="7" t="n">
        <v>-0.265714285714286</v>
      </c>
      <c r="G40" s="64" t="n">
        <v>3.56</v>
      </c>
      <c r="H40" s="7" t="n">
        <v>0.475877357868719</v>
      </c>
      <c r="I40" s="19"/>
    </row>
    <row r="41" customFormat="false" ht="15" hidden="false" customHeight="false" outlineLevel="0" collapsed="false">
      <c r="A41" s="45" t="s">
        <v>292</v>
      </c>
      <c r="B41" s="7" t="n">
        <v>0.1</v>
      </c>
      <c r="C41" s="8" t="s">
        <v>35</v>
      </c>
      <c r="D41" s="7" t="n">
        <v>0.336159666384104</v>
      </c>
      <c r="E41" s="7" t="n">
        <f aca="false">INDEX(目标与口径!$F$5:$F$36,MATCH("late_rate",目标与口径!$A$5:$A$36,0))</f>
        <v>0.02</v>
      </c>
      <c r="F41" s="7" t="n">
        <v>-0.08</v>
      </c>
      <c r="G41" s="64" t="n">
        <v>2.69</v>
      </c>
      <c r="H41" s="7" t="n">
        <v>0.835036326249398</v>
      </c>
      <c r="I41" s="19"/>
    </row>
    <row r="42" customFormat="false" ht="15" hidden="false" customHeight="false" outlineLevel="0" collapsed="false">
      <c r="A42" s="45" t="s">
        <v>291</v>
      </c>
      <c r="B42" s="7" t="n">
        <v>0.0625</v>
      </c>
      <c r="C42" s="8" t="s">
        <v>34</v>
      </c>
      <c r="D42" s="7" t="n">
        <v>0.290635235499772</v>
      </c>
      <c r="E42" s="7" t="n">
        <f aca="false">INDEX(目标与口径!$F$5:$F$36,MATCH("late_rate",目标与口径!$A$5:$A$36,0))</f>
        <v>0.02</v>
      </c>
      <c r="F42" s="7" t="n">
        <v>-0.0425</v>
      </c>
      <c r="G42" s="64" t="n">
        <v>1.24</v>
      </c>
      <c r="H42" s="7" t="n">
        <v>1</v>
      </c>
      <c r="I42" s="19"/>
    </row>
    <row r="43" customFormat="false" ht="15" hidden="false" customHeight="false" outlineLevel="0" collapsed="false">
      <c r="A43" s="45" t="s">
        <v>293</v>
      </c>
      <c r="B43" s="7" t="n">
        <v>0</v>
      </c>
      <c r="C43" s="8" t="s">
        <v>33</v>
      </c>
      <c r="D43" s="7" t="n">
        <v>0.141766751078004</v>
      </c>
      <c r="E43" s="7" t="n">
        <f aca="false">INDEX(目标与口径!$F$5:$F$36,MATCH("late_rate",目标与口径!$A$5:$A$36,0))</f>
        <v>0.02</v>
      </c>
      <c r="F43" s="7" t="n">
        <v>0.02</v>
      </c>
      <c r="G43" s="64" t="n">
        <v>-0.28</v>
      </c>
      <c r="H43" s="7" t="n">
        <v>1</v>
      </c>
      <c r="I43" s="19"/>
    </row>
    <row r="44" customFormat="false" ht="13.4" hidden="false" customHeight="false" outlineLevel="0" collapsed="false">
      <c r="A44" s="59" t="s">
        <v>308</v>
      </c>
      <c r="B44" s="59"/>
      <c r="C44" s="59"/>
      <c r="D44" s="59"/>
      <c r="E44" s="59"/>
      <c r="F44" s="59"/>
      <c r="G44" s="59"/>
      <c r="H44" s="59"/>
      <c r="I44" s="59"/>
    </row>
    <row r="46" customFormat="false" ht="24" hidden="false" customHeight="true" outlineLevel="0" collapsed="false">
      <c r="A46" s="44" t="s">
        <v>309</v>
      </c>
      <c r="B46" s="44"/>
      <c r="C46" s="44"/>
      <c r="D46" s="44"/>
      <c r="E46" s="44"/>
      <c r="F46" s="44"/>
      <c r="G46" s="44"/>
      <c r="H46" s="44"/>
      <c r="I46" s="44"/>
    </row>
    <row r="47" customFormat="false" ht="30" hidden="false" customHeight="true" outlineLevel="0" collapsed="false">
      <c r="A47" s="6" t="s">
        <v>310</v>
      </c>
      <c r="B47" s="6" t="s">
        <v>280</v>
      </c>
      <c r="C47" s="6" t="s">
        <v>7</v>
      </c>
      <c r="D47" s="6" t="s">
        <v>281</v>
      </c>
      <c r="E47" s="6" t="s">
        <v>282</v>
      </c>
      <c r="F47" s="6" t="s">
        <v>283</v>
      </c>
      <c r="G47" s="6" t="s">
        <v>284</v>
      </c>
      <c r="H47" s="6" t="s">
        <v>285</v>
      </c>
      <c r="I47" s="6" t="s">
        <v>265</v>
      </c>
    </row>
    <row r="48" customFormat="false" ht="15" hidden="false" customHeight="false" outlineLevel="0" collapsed="false">
      <c r="A48" s="45" t="s">
        <v>311</v>
      </c>
      <c r="B48" s="7" t="n">
        <v>0</v>
      </c>
      <c r="C48" s="8" t="s">
        <v>33</v>
      </c>
      <c r="D48" s="7" t="n">
        <v>0</v>
      </c>
      <c r="E48" s="7" t="n">
        <f aca="false">INDEX(目标与口径!$F$5:$F$36,MATCH("late_rate",目标与口径!$A$5:$A$36,0))</f>
        <v>0.02</v>
      </c>
      <c r="F48" s="7" t="n">
        <v>0.02</v>
      </c>
      <c r="G48" s="64" t="n">
        <v>0</v>
      </c>
      <c r="H48" s="7" t="n">
        <v>0</v>
      </c>
      <c r="I48" s="19"/>
    </row>
    <row r="49" customFormat="false" ht="15" hidden="false" customHeight="false" outlineLevel="0" collapsed="false">
      <c r="A49" s="45" t="s">
        <v>312</v>
      </c>
      <c r="B49" s="7" t="n">
        <v>0.1667</v>
      </c>
      <c r="C49" s="8" t="s">
        <v>35</v>
      </c>
      <c r="D49" s="7" t="n">
        <v>0</v>
      </c>
      <c r="E49" s="7" t="n">
        <f aca="false">INDEX(目标与口径!$F$5:$F$36,MATCH("late_rate",目标与口径!$A$5:$A$36,0))</f>
        <v>0.02</v>
      </c>
      <c r="F49" s="7" t="n">
        <v>-0.146666666666667</v>
      </c>
      <c r="G49" s="64" t="n">
        <v>0</v>
      </c>
      <c r="H49" s="7" t="n">
        <v>0</v>
      </c>
      <c r="I49" s="19"/>
    </row>
    <row r="50" customFormat="false" ht="15" hidden="false" customHeight="false" outlineLevel="0" collapsed="false">
      <c r="A50" s="45" t="s">
        <v>313</v>
      </c>
      <c r="B50" s="7" t="n">
        <v>0.5</v>
      </c>
      <c r="C50" s="8" t="s">
        <v>35</v>
      </c>
      <c r="D50" s="7" t="n">
        <v>0</v>
      </c>
      <c r="E50" s="7" t="n">
        <f aca="false">INDEX(目标与口径!$F$5:$F$36,MATCH("late_rate",目标与口径!$A$5:$A$36,0))</f>
        <v>0.02</v>
      </c>
      <c r="F50" s="7" t="n">
        <v>-0.48</v>
      </c>
      <c r="G50" s="64" t="n">
        <v>0</v>
      </c>
      <c r="H50" s="7" t="n">
        <v>0</v>
      </c>
      <c r="I50" s="19"/>
    </row>
    <row r="51" customFormat="false" ht="15" hidden="false" customHeight="false" outlineLevel="0" collapsed="false">
      <c r="A51" s="45" t="s">
        <v>314</v>
      </c>
      <c r="B51" s="7" t="n">
        <v>0</v>
      </c>
      <c r="C51" s="8" t="s">
        <v>33</v>
      </c>
      <c r="D51" s="7" t="n">
        <v>0</v>
      </c>
      <c r="E51" s="7" t="n">
        <f aca="false">INDEX(目标与口径!$F$5:$F$36,MATCH("late_rate",目标与口径!$A$5:$A$36,0))</f>
        <v>0.02</v>
      </c>
      <c r="F51" s="7" t="n">
        <v>0.02</v>
      </c>
      <c r="G51" s="64" t="n">
        <v>0</v>
      </c>
      <c r="H51" s="7" t="n">
        <v>0</v>
      </c>
      <c r="I51" s="19"/>
    </row>
    <row r="52" customFormat="false" ht="15" hidden="false" customHeight="false" outlineLevel="0" collapsed="false">
      <c r="A52" s="45" t="s">
        <v>315</v>
      </c>
      <c r="B52" s="7" t="n">
        <v>0.1429</v>
      </c>
      <c r="C52" s="8" t="s">
        <v>35</v>
      </c>
      <c r="D52" s="7" t="n">
        <v>0</v>
      </c>
      <c r="E52" s="7" t="n">
        <f aca="false">INDEX(目标与口径!$F$5:$F$36,MATCH("late_rate",目标与口径!$A$5:$A$36,0))</f>
        <v>0.02</v>
      </c>
      <c r="F52" s="7" t="n">
        <v>-0.122857142857143</v>
      </c>
      <c r="G52" s="64" t="n">
        <v>0</v>
      </c>
      <c r="H52" s="7" t="n">
        <v>0</v>
      </c>
      <c r="I52" s="19"/>
    </row>
    <row r="53" customFormat="false" ht="15" hidden="false" customHeight="false" outlineLevel="0" collapsed="false">
      <c r="A53" s="45" t="s">
        <v>316</v>
      </c>
      <c r="B53" s="7" t="n">
        <v>0</v>
      </c>
      <c r="C53" s="8" t="s">
        <v>33</v>
      </c>
      <c r="D53" s="7" t="n">
        <v>0</v>
      </c>
      <c r="E53" s="7" t="n">
        <f aca="false">INDEX(目标与口径!$F$5:$F$36,MATCH("late_rate",目标与口径!$A$5:$A$36,0))</f>
        <v>0.02</v>
      </c>
      <c r="F53" s="7" t="n">
        <v>0.02</v>
      </c>
      <c r="G53" s="64" t="n">
        <v>0</v>
      </c>
      <c r="H53" s="7" t="n">
        <v>0</v>
      </c>
      <c r="I53" s="19"/>
    </row>
    <row r="54" customFormat="false" ht="15" hidden="false" customHeight="false" outlineLevel="0" collapsed="false">
      <c r="A54" s="45" t="s">
        <v>317</v>
      </c>
      <c r="B54" s="7" t="n">
        <v>0</v>
      </c>
      <c r="C54" s="8" t="s">
        <v>33</v>
      </c>
      <c r="D54" s="7" t="n">
        <v>0</v>
      </c>
      <c r="E54" s="7" t="n">
        <f aca="false">INDEX(目标与口径!$F$5:$F$36,MATCH("late_rate",目标与口径!$A$5:$A$36,0))</f>
        <v>0.02</v>
      </c>
      <c r="F54" s="7" t="n">
        <v>0.02</v>
      </c>
      <c r="G54" s="64" t="n">
        <v>0</v>
      </c>
      <c r="H54" s="7" t="n">
        <v>0</v>
      </c>
      <c r="I54" s="19"/>
    </row>
    <row r="55" customFormat="false" ht="15" hidden="false" customHeight="false" outlineLevel="0" collapsed="false">
      <c r="A55" s="45" t="s">
        <v>318</v>
      </c>
      <c r="B55" s="7" t="n">
        <v>0</v>
      </c>
      <c r="C55" s="8" t="s">
        <v>33</v>
      </c>
      <c r="D55" s="7" t="n">
        <v>1</v>
      </c>
      <c r="E55" s="7" t="n">
        <f aca="false">INDEX(目标与口径!$F$5:$F$36,MATCH("late_rate",目标与口径!$A$5:$A$36,0))</f>
        <v>0.02</v>
      </c>
      <c r="F55" s="7" t="n">
        <v>0.02</v>
      </c>
      <c r="G55" s="64" t="n">
        <v>-2</v>
      </c>
      <c r="H55" s="7" t="n">
        <v>0</v>
      </c>
      <c r="I55" s="19"/>
    </row>
    <row r="56" customFormat="false" ht="13.4" hidden="false" customHeight="false" outlineLevel="0" collapsed="false">
      <c r="A56" s="59" t="s">
        <v>319</v>
      </c>
      <c r="B56" s="59"/>
      <c r="C56" s="59"/>
      <c r="D56" s="59"/>
      <c r="E56" s="59"/>
      <c r="F56" s="59"/>
      <c r="G56" s="59"/>
      <c r="H56" s="59"/>
      <c r="I56" s="59"/>
    </row>
    <row r="58" customFormat="false" ht="24" hidden="false" customHeight="true" outlineLevel="0" collapsed="false">
      <c r="A58" s="44" t="s">
        <v>320</v>
      </c>
      <c r="B58" s="44"/>
      <c r="C58" s="44"/>
      <c r="D58" s="44"/>
      <c r="E58" s="44"/>
      <c r="F58" s="44"/>
      <c r="G58" s="44"/>
      <c r="H58" s="44"/>
      <c r="I58" s="44"/>
    </row>
    <row r="59" customFormat="false" ht="30" hidden="false" customHeight="true" outlineLevel="0" collapsed="false">
      <c r="A59" s="6" t="s">
        <v>321</v>
      </c>
      <c r="B59" s="6" t="s">
        <v>280</v>
      </c>
      <c r="C59" s="6" t="s">
        <v>7</v>
      </c>
      <c r="D59" s="6" t="s">
        <v>281</v>
      </c>
      <c r="E59" s="6" t="s">
        <v>282</v>
      </c>
      <c r="F59" s="6" t="s">
        <v>283</v>
      </c>
      <c r="G59" s="6" t="s">
        <v>284</v>
      </c>
      <c r="H59" s="6" t="s">
        <v>285</v>
      </c>
      <c r="I59" s="6" t="s">
        <v>265</v>
      </c>
    </row>
    <row r="60" customFormat="false" ht="15" hidden="false" customHeight="false" outlineLevel="0" collapsed="false">
      <c r="A60" s="45" t="s">
        <v>322</v>
      </c>
      <c r="B60" s="11" t="n">
        <v>76</v>
      </c>
      <c r="C60" s="8" t="s">
        <v>35</v>
      </c>
      <c r="D60" s="7" t="n">
        <v>0</v>
      </c>
      <c r="E60" s="11" t="n">
        <f aca="false">INDEX(目标与口径!$F$5:$F$36,MATCH("equipment_downtime",目标与口径!$A$5:$A$36,0))</f>
        <v>0</v>
      </c>
      <c r="F60" s="11" t="n">
        <v>-76</v>
      </c>
      <c r="G60" s="64" t="n">
        <v>76</v>
      </c>
      <c r="H60" s="7" t="n">
        <v>1</v>
      </c>
      <c r="I60" s="19"/>
    </row>
    <row r="61" customFormat="false" ht="15" hidden="false" customHeight="false" outlineLevel="0" collapsed="false">
      <c r="A61" s="45" t="s">
        <v>323</v>
      </c>
      <c r="B61" s="11" t="n">
        <v>0</v>
      </c>
      <c r="C61" s="8" t="s">
        <v>33</v>
      </c>
      <c r="D61" s="7" t="n">
        <v>0.333333333333333</v>
      </c>
      <c r="E61" s="11" t="n">
        <f aca="false">INDEX(目标与口径!$F$5:$F$36,MATCH("equipment_downtime",目标与口径!$A$5:$A$36,0))</f>
        <v>0</v>
      </c>
      <c r="F61" s="11" t="n">
        <v>0</v>
      </c>
      <c r="G61" s="64" t="n">
        <v>0</v>
      </c>
      <c r="H61" s="7" t="n">
        <v>1</v>
      </c>
      <c r="I61" s="19"/>
    </row>
    <row r="62" customFormat="false" ht="15" hidden="false" customHeight="false" outlineLevel="0" collapsed="false">
      <c r="A62" s="45" t="s">
        <v>324</v>
      </c>
      <c r="B62" s="11" t="n">
        <v>0</v>
      </c>
      <c r="C62" s="8" t="s">
        <v>33</v>
      </c>
      <c r="D62" s="7" t="n">
        <v>0.333333333333333</v>
      </c>
      <c r="E62" s="11" t="n">
        <f aca="false">INDEX(目标与口径!$F$5:$F$36,MATCH("equipment_downtime",目标与口径!$A$5:$A$36,0))</f>
        <v>0</v>
      </c>
      <c r="F62" s="11" t="n">
        <v>0</v>
      </c>
      <c r="G62" s="64" t="n">
        <v>0</v>
      </c>
      <c r="H62" s="7" t="n">
        <v>1</v>
      </c>
      <c r="I62" s="19"/>
    </row>
    <row r="63" customFormat="false" ht="15" hidden="false" customHeight="false" outlineLevel="0" collapsed="false">
      <c r="A63" s="45" t="s">
        <v>325</v>
      </c>
      <c r="B63" s="11" t="n">
        <v>0</v>
      </c>
      <c r="C63" s="8" t="s">
        <v>33</v>
      </c>
      <c r="D63" s="7" t="n">
        <v>0.333333333333333</v>
      </c>
      <c r="E63" s="11" t="n">
        <f aca="false">INDEX(目标与口径!$F$5:$F$36,MATCH("equipment_downtime",目标与口径!$A$5:$A$36,0))</f>
        <v>0</v>
      </c>
      <c r="F63" s="11" t="n">
        <v>0</v>
      </c>
      <c r="G63" s="64" t="n">
        <v>0</v>
      </c>
      <c r="H63" s="7" t="n">
        <v>1</v>
      </c>
      <c r="I63" s="19"/>
    </row>
    <row r="64" customFormat="false" ht="13.4" hidden="false" customHeight="false" outlineLevel="0" collapsed="false">
      <c r="A64" s="59" t="s">
        <v>326</v>
      </c>
      <c r="B64" s="59"/>
      <c r="C64" s="59"/>
      <c r="D64" s="59"/>
      <c r="E64" s="59"/>
      <c r="F64" s="59"/>
      <c r="G64" s="59"/>
      <c r="H64" s="59"/>
      <c r="I64" s="59"/>
    </row>
    <row r="66" customFormat="false" ht="24" hidden="false" customHeight="true" outlineLevel="0" collapsed="false">
      <c r="A66" s="44" t="s">
        <v>327</v>
      </c>
      <c r="B66" s="44"/>
      <c r="C66" s="44"/>
      <c r="D66" s="44"/>
      <c r="E66" s="44"/>
      <c r="F66" s="44"/>
      <c r="G66" s="44"/>
      <c r="H66" s="44"/>
      <c r="I66" s="44"/>
    </row>
    <row r="67" customFormat="false" ht="30" hidden="false" customHeight="true" outlineLevel="0" collapsed="false">
      <c r="A67" s="6" t="s">
        <v>258</v>
      </c>
      <c r="B67" s="6" t="s">
        <v>280</v>
      </c>
      <c r="C67" s="6" t="s">
        <v>7</v>
      </c>
      <c r="D67" s="6" t="s">
        <v>281</v>
      </c>
      <c r="E67" s="6" t="s">
        <v>282</v>
      </c>
      <c r="F67" s="6" t="s">
        <v>283</v>
      </c>
      <c r="G67" s="6" t="s">
        <v>284</v>
      </c>
      <c r="H67" s="6" t="s">
        <v>285</v>
      </c>
      <c r="I67" s="6" t="s">
        <v>265</v>
      </c>
    </row>
    <row r="68" customFormat="false" ht="15" hidden="false" customHeight="false" outlineLevel="0" collapsed="false">
      <c r="A68" s="45" t="s">
        <v>291</v>
      </c>
      <c r="B68" s="7" t="n">
        <v>0.1228</v>
      </c>
      <c r="C68" s="8" t="s">
        <v>35</v>
      </c>
      <c r="D68" s="7" t="n">
        <v>0.290635235499772</v>
      </c>
      <c r="E68" s="7" t="n">
        <f aca="false">INDEX(目标与口径!$F$5:$F$36,MATCH("labor_schedule_variance",目标与口径!$A$5:$A$36,0))</f>
        <v>0.02</v>
      </c>
      <c r="F68" s="7" t="n">
        <v>-0.102824814670309</v>
      </c>
      <c r="G68" s="64" t="n">
        <v>2.99</v>
      </c>
      <c r="H68" s="7" t="n">
        <v>0.89500089240207</v>
      </c>
      <c r="I68" s="19"/>
    </row>
    <row r="69" customFormat="false" ht="15" hidden="false" customHeight="false" outlineLevel="0" collapsed="false">
      <c r="A69" s="45" t="s">
        <v>294</v>
      </c>
      <c r="B69" s="7" t="n">
        <v>0.0415</v>
      </c>
      <c r="C69" s="8" t="s">
        <v>34</v>
      </c>
      <c r="D69" s="7" t="n">
        <v>0.134100072623042</v>
      </c>
      <c r="E69" s="7" t="n">
        <f aca="false">INDEX(目标与口径!$F$5:$F$36,MATCH("labor_schedule_variance",目标与口径!$A$5:$A$36,0))</f>
        <v>0.02</v>
      </c>
      <c r="F69" s="7" t="n">
        <v>-0.0215189873417725</v>
      </c>
      <c r="G69" s="64" t="n">
        <v>0.29</v>
      </c>
      <c r="H69" s="7" t="n">
        <v>0.98142364819927</v>
      </c>
      <c r="I69" s="19"/>
    </row>
    <row r="70" customFormat="false" ht="15" hidden="false" customHeight="false" outlineLevel="0" collapsed="false">
      <c r="A70" s="45" t="s">
        <v>292</v>
      </c>
      <c r="B70" s="7" t="n">
        <v>0.0218</v>
      </c>
      <c r="C70" s="8" t="s">
        <v>33</v>
      </c>
      <c r="D70" s="7" t="n">
        <v>0.336159666384104</v>
      </c>
      <c r="E70" s="7" t="n">
        <f aca="false">INDEX(目标与口径!$F$5:$F$36,MATCH("labor_schedule_variance",目标与口径!$A$5:$A$36,0))</f>
        <v>0.02</v>
      </c>
      <c r="F70" s="7" t="n">
        <v>-0.00184517497348909</v>
      </c>
      <c r="G70" s="64" t="n">
        <v>0.06</v>
      </c>
      <c r="H70" s="7" t="n">
        <v>1</v>
      </c>
      <c r="I70" s="19"/>
    </row>
    <row r="71" customFormat="false" ht="15" hidden="false" customHeight="false" outlineLevel="0" collapsed="false">
      <c r="A71" s="45" t="s">
        <v>295</v>
      </c>
      <c r="B71" s="7" t="n">
        <v>0.0181</v>
      </c>
      <c r="C71" s="8" t="s">
        <v>33</v>
      </c>
      <c r="D71" s="7" t="n">
        <v>0.0973382744150772</v>
      </c>
      <c r="E71" s="7" t="n">
        <f aca="false">INDEX(目标与口径!$F$5:$F$36,MATCH("labor_schedule_variance",目标与口径!$A$5:$A$36,0))</f>
        <v>0.02</v>
      </c>
      <c r="F71" s="7" t="n">
        <v>0.00189730200174054</v>
      </c>
      <c r="G71" s="64" t="n">
        <v>-0.02</v>
      </c>
      <c r="H71" s="7" t="n">
        <v>1</v>
      </c>
      <c r="I71" s="19"/>
    </row>
    <row r="72" customFormat="false" ht="15" hidden="false" customHeight="false" outlineLevel="0" collapsed="false">
      <c r="A72" s="45" t="s">
        <v>293</v>
      </c>
      <c r="B72" s="7" t="n">
        <v>0.0181</v>
      </c>
      <c r="C72" s="8" t="s">
        <v>33</v>
      </c>
      <c r="D72" s="7" t="n">
        <v>0.141766751078004</v>
      </c>
      <c r="E72" s="7" t="n">
        <f aca="false">INDEX(目标与口径!$F$5:$F$36,MATCH("labor_schedule_variance",目标与口径!$A$5:$A$36,0))</f>
        <v>0.02</v>
      </c>
      <c r="F72" s="7" t="n">
        <v>0.00186309103740281</v>
      </c>
      <c r="G72" s="64" t="n">
        <v>-0.03</v>
      </c>
      <c r="H72" s="7" t="n">
        <v>1</v>
      </c>
      <c r="I72" s="19"/>
    </row>
    <row r="73" customFormat="false" ht="13.4" hidden="false" customHeight="false" outlineLevel="0" collapsed="false">
      <c r="A73" s="59" t="s">
        <v>328</v>
      </c>
      <c r="B73" s="59"/>
      <c r="C73" s="59"/>
      <c r="D73" s="59"/>
      <c r="E73" s="59"/>
      <c r="F73" s="59"/>
      <c r="G73" s="59"/>
      <c r="H73" s="59"/>
      <c r="I73" s="59"/>
    </row>
    <row r="75" customFormat="false" ht="24" hidden="false" customHeight="true" outlineLevel="0" collapsed="false">
      <c r="A75" s="44" t="s">
        <v>329</v>
      </c>
      <c r="B75" s="44"/>
      <c r="C75" s="44"/>
      <c r="D75" s="44"/>
      <c r="E75" s="44"/>
      <c r="F75" s="44"/>
      <c r="G75" s="44"/>
      <c r="H75" s="44"/>
      <c r="I75" s="44"/>
    </row>
    <row r="76" customFormat="false" ht="30" hidden="false" customHeight="true" outlineLevel="0" collapsed="false">
      <c r="A76" s="6" t="s">
        <v>310</v>
      </c>
      <c r="B76" s="6" t="s">
        <v>280</v>
      </c>
      <c r="C76" s="6" t="s">
        <v>7</v>
      </c>
      <c r="D76" s="6" t="s">
        <v>281</v>
      </c>
      <c r="E76" s="6" t="s">
        <v>282</v>
      </c>
      <c r="F76" s="6" t="s">
        <v>283</v>
      </c>
      <c r="G76" s="6" t="s">
        <v>284</v>
      </c>
      <c r="H76" s="6" t="s">
        <v>285</v>
      </c>
      <c r="I76" s="6" t="s">
        <v>265</v>
      </c>
    </row>
    <row r="77" customFormat="false" ht="15" hidden="false" customHeight="false" outlineLevel="0" collapsed="false">
      <c r="A77" s="45" t="s">
        <v>311</v>
      </c>
      <c r="B77" s="7" t="n">
        <v>0.15</v>
      </c>
      <c r="C77" s="8" t="s">
        <v>35</v>
      </c>
      <c r="D77" s="7" t="n">
        <v>0</v>
      </c>
      <c r="E77" s="7" t="n">
        <f aca="false">INDEX(目标与口径!$F$5:$F$36,MATCH("labor_schedule_variance",目标与口径!$A$5:$A$36,0))</f>
        <v>0.02</v>
      </c>
      <c r="F77" s="7" t="n">
        <v>-0.13</v>
      </c>
      <c r="G77" s="64" t="n">
        <v>0</v>
      </c>
      <c r="H77" s="7" t="n">
        <v>0</v>
      </c>
      <c r="I77" s="19"/>
    </row>
    <row r="78" customFormat="false" ht="15" hidden="false" customHeight="false" outlineLevel="0" collapsed="false">
      <c r="A78" s="45" t="s">
        <v>312</v>
      </c>
      <c r="B78" s="7" t="n">
        <v>0.0058</v>
      </c>
      <c r="C78" s="8" t="s">
        <v>33</v>
      </c>
      <c r="D78" s="7" t="n">
        <v>0</v>
      </c>
      <c r="E78" s="7" t="n">
        <f aca="false">INDEX(目标与口径!$F$5:$F$36,MATCH("labor_schedule_variance",目标与口径!$A$5:$A$36,0))</f>
        <v>0.02</v>
      </c>
      <c r="F78" s="7" t="n">
        <v>0.0141538461538462</v>
      </c>
      <c r="G78" s="64" t="n">
        <v>0</v>
      </c>
      <c r="H78" s="7" t="n">
        <v>0</v>
      </c>
      <c r="I78" s="19"/>
    </row>
    <row r="79" customFormat="false" ht="15" hidden="false" customHeight="false" outlineLevel="0" collapsed="false">
      <c r="A79" s="45" t="s">
        <v>313</v>
      </c>
      <c r="B79" s="7" t="n">
        <v>0.0082</v>
      </c>
      <c r="C79" s="8" t="s">
        <v>33</v>
      </c>
      <c r="D79" s="7" t="n">
        <v>0</v>
      </c>
      <c r="E79" s="7" t="n">
        <f aca="false">INDEX(目标与口径!$F$5:$F$36,MATCH("labor_schedule_variance",目标与口径!$A$5:$A$36,0))</f>
        <v>0.02</v>
      </c>
      <c r="F79" s="7" t="n">
        <v>0.0118367346938776</v>
      </c>
      <c r="G79" s="64" t="n">
        <v>0</v>
      </c>
      <c r="H79" s="7" t="n">
        <v>0</v>
      </c>
      <c r="I79" s="19"/>
    </row>
    <row r="80" customFormat="false" ht="15" hidden="false" customHeight="false" outlineLevel="0" collapsed="false">
      <c r="A80" s="45" t="s">
        <v>314</v>
      </c>
      <c r="B80" s="7" t="n">
        <v>0.0167</v>
      </c>
      <c r="C80" s="8" t="s">
        <v>33</v>
      </c>
      <c r="D80" s="7" t="n">
        <v>0</v>
      </c>
      <c r="E80" s="7" t="n">
        <f aca="false">INDEX(目标与口径!$F$5:$F$36,MATCH("labor_schedule_variance",目标与口径!$A$5:$A$36,0))</f>
        <v>0.02</v>
      </c>
      <c r="F80" s="7" t="n">
        <v>0.00333333333333339</v>
      </c>
      <c r="G80" s="64" t="n">
        <v>0</v>
      </c>
      <c r="H80" s="7" t="n">
        <v>0</v>
      </c>
      <c r="I80" s="19"/>
    </row>
    <row r="81" customFormat="false" ht="15" hidden="false" customHeight="false" outlineLevel="0" collapsed="false">
      <c r="A81" s="45" t="s">
        <v>315</v>
      </c>
      <c r="B81" s="7" t="n">
        <v>0.0109</v>
      </c>
      <c r="C81" s="8" t="s">
        <v>33</v>
      </c>
      <c r="D81" s="7" t="n">
        <v>0</v>
      </c>
      <c r="E81" s="7" t="n">
        <f aca="false">INDEX(目标与口径!$F$5:$F$36,MATCH("labor_schedule_variance",目标与口径!$A$5:$A$36,0))</f>
        <v>0.02</v>
      </c>
      <c r="F81" s="7" t="n">
        <v>0.00913580246913568</v>
      </c>
      <c r="G81" s="64" t="n">
        <v>0</v>
      </c>
      <c r="H81" s="7" t="n">
        <v>0</v>
      </c>
      <c r="I81" s="19"/>
    </row>
    <row r="82" customFormat="false" ht="15" hidden="false" customHeight="false" outlineLevel="0" collapsed="false">
      <c r="A82" s="45" t="s">
        <v>316</v>
      </c>
      <c r="B82" s="7" t="n">
        <v>0.0188</v>
      </c>
      <c r="C82" s="8" t="s">
        <v>33</v>
      </c>
      <c r="D82" s="7" t="n">
        <v>0</v>
      </c>
      <c r="E82" s="7" t="n">
        <f aca="false">INDEX(目标与口径!$F$5:$F$36,MATCH("labor_schedule_variance",目标与口径!$A$5:$A$36,0))</f>
        <v>0.02</v>
      </c>
      <c r="F82" s="7" t="n">
        <v>0.00121212121212129</v>
      </c>
      <c r="G82" s="64" t="n">
        <v>0</v>
      </c>
      <c r="H82" s="7" t="n">
        <v>0</v>
      </c>
      <c r="I82" s="19"/>
    </row>
    <row r="83" customFormat="false" ht="15" hidden="false" customHeight="false" outlineLevel="0" collapsed="false">
      <c r="A83" s="45" t="s">
        <v>317</v>
      </c>
      <c r="B83" s="7" t="n">
        <v>0.0111</v>
      </c>
      <c r="C83" s="8" t="s">
        <v>33</v>
      </c>
      <c r="D83" s="7" t="n">
        <v>0</v>
      </c>
      <c r="E83" s="7" t="n">
        <f aca="false">INDEX(目标与口径!$F$5:$F$36,MATCH("labor_schedule_variance",目标与口径!$A$5:$A$36,0))</f>
        <v>0.02</v>
      </c>
      <c r="F83" s="7" t="n">
        <v>0.00894736842105277</v>
      </c>
      <c r="G83" s="64" t="n">
        <v>0</v>
      </c>
      <c r="H83" s="7" t="n">
        <v>0</v>
      </c>
      <c r="I83" s="19"/>
    </row>
    <row r="84" customFormat="false" ht="15" hidden="false" customHeight="false" outlineLevel="0" collapsed="false">
      <c r="A84" s="45" t="s">
        <v>318</v>
      </c>
      <c r="B84" s="7" t="n">
        <v>0.0119</v>
      </c>
      <c r="C84" s="8" t="s">
        <v>33</v>
      </c>
      <c r="D84" s="7" t="n">
        <v>1</v>
      </c>
      <c r="E84" s="7" t="n">
        <f aca="false">INDEX(目标与口径!$F$5:$F$36,MATCH("labor_schedule_variance",目标与口径!$A$5:$A$36,0))</f>
        <v>0.02</v>
      </c>
      <c r="F84" s="7" t="n">
        <v>0.00810126582278484</v>
      </c>
      <c r="G84" s="64" t="n">
        <v>-0.81</v>
      </c>
      <c r="H84" s="7" t="n">
        <v>0</v>
      </c>
      <c r="I84" s="19"/>
    </row>
    <row r="85" customFormat="false" ht="13.4" hidden="false" customHeight="false" outlineLevel="0" collapsed="false">
      <c r="A85" s="59" t="s">
        <v>319</v>
      </c>
      <c r="B85" s="59"/>
      <c r="C85" s="59"/>
      <c r="D85" s="59"/>
      <c r="E85" s="59"/>
      <c r="F85" s="59"/>
      <c r="G85" s="59"/>
      <c r="H85" s="59"/>
      <c r="I85" s="59"/>
    </row>
    <row r="87" customFormat="false" ht="24" hidden="false" customHeight="true" outlineLevel="0" collapsed="false">
      <c r="A87" s="44" t="s">
        <v>330</v>
      </c>
      <c r="B87" s="44"/>
      <c r="C87" s="44"/>
      <c r="D87" s="44"/>
      <c r="E87" s="44"/>
      <c r="F87" s="44"/>
      <c r="G87" s="44"/>
      <c r="H87" s="44"/>
      <c r="I87" s="44"/>
    </row>
    <row r="88" customFormat="false" ht="30" hidden="false" customHeight="true" outlineLevel="0" collapsed="false">
      <c r="A88" s="6" t="s">
        <v>258</v>
      </c>
      <c r="B88" s="6" t="s">
        <v>280</v>
      </c>
      <c r="C88" s="6" t="s">
        <v>7</v>
      </c>
      <c r="D88" s="6" t="s">
        <v>281</v>
      </c>
      <c r="E88" s="6" t="s">
        <v>282</v>
      </c>
      <c r="F88" s="6" t="s">
        <v>283</v>
      </c>
      <c r="G88" s="6" t="s">
        <v>284</v>
      </c>
      <c r="H88" s="6" t="s">
        <v>285</v>
      </c>
      <c r="I88" s="6" t="s">
        <v>265</v>
      </c>
    </row>
    <row r="89" customFormat="false" ht="15" hidden="false" customHeight="false" outlineLevel="0" collapsed="false">
      <c r="A89" s="45" t="s">
        <v>291</v>
      </c>
      <c r="B89" s="7" t="n">
        <v>0.2069</v>
      </c>
      <c r="C89" s="8" t="s">
        <v>35</v>
      </c>
      <c r="D89" s="7" t="n">
        <v>0.290635235499772</v>
      </c>
      <c r="E89" s="7" t="n">
        <f aca="false">INDEX(目标与口径!$F$5:$F$36,MATCH("upsell_rate",目标与口径!$A$5:$A$36,0))</f>
        <v>0.3</v>
      </c>
      <c r="F89" s="7" t="n">
        <v>-0.0931034482758621</v>
      </c>
      <c r="G89" s="64" t="n">
        <v>2.71</v>
      </c>
      <c r="H89" s="7" t="n">
        <v>0.479391285368459</v>
      </c>
      <c r="I89" s="19"/>
    </row>
    <row r="90" customFormat="false" ht="15" hidden="false" customHeight="false" outlineLevel="0" collapsed="false">
      <c r="A90" s="45" t="s">
        <v>292</v>
      </c>
      <c r="B90" s="7" t="n">
        <v>0.2472</v>
      </c>
      <c r="C90" s="8" t="s">
        <v>34</v>
      </c>
      <c r="D90" s="7" t="n">
        <v>0.336159666384104</v>
      </c>
      <c r="E90" s="7" t="n">
        <f aca="false">INDEX(目标与口径!$F$5:$F$36,MATCH("upsell_rate",目标与口径!$A$5:$A$36,0))</f>
        <v>0.3</v>
      </c>
      <c r="F90" s="7" t="n">
        <v>-0.0528089887640449</v>
      </c>
      <c r="G90" s="64" t="n">
        <v>1.78</v>
      </c>
      <c r="H90" s="7" t="n">
        <v>0.793897736920452</v>
      </c>
      <c r="I90" s="19"/>
    </row>
    <row r="91" customFormat="false" ht="15" hidden="false" customHeight="false" outlineLevel="0" collapsed="false">
      <c r="A91" s="45" t="s">
        <v>293</v>
      </c>
      <c r="B91" s="7" t="n">
        <v>0.2609</v>
      </c>
      <c r="C91" s="8" t="s">
        <v>34</v>
      </c>
      <c r="D91" s="7" t="n">
        <v>0.141766751078004</v>
      </c>
      <c r="E91" s="7" t="n">
        <f aca="false">INDEX(目标与口径!$F$5:$F$36,MATCH("upsell_rate",目标与口径!$A$5:$A$36,0))</f>
        <v>0.3</v>
      </c>
      <c r="F91" s="7" t="n">
        <v>-0.0391304347826087</v>
      </c>
      <c r="G91" s="64" t="n">
        <v>0.55</v>
      </c>
      <c r="H91" s="7" t="n">
        <v>0.892177740432635</v>
      </c>
      <c r="I91" s="19"/>
    </row>
    <row r="92" customFormat="false" ht="15" hidden="false" customHeight="false" outlineLevel="0" collapsed="false">
      <c r="A92" s="45" t="s">
        <v>295</v>
      </c>
      <c r="B92" s="7" t="n">
        <v>0.25</v>
      </c>
      <c r="C92" s="8" t="s">
        <v>34</v>
      </c>
      <c r="D92" s="7" t="n">
        <v>0.0973382744150772</v>
      </c>
      <c r="E92" s="7" t="n">
        <f aca="false">INDEX(目标与口径!$F$5:$F$36,MATCH("upsell_rate",目标与口径!$A$5:$A$36,0))</f>
        <v>0.3</v>
      </c>
      <c r="F92" s="7" t="n">
        <v>-0.05</v>
      </c>
      <c r="G92" s="64" t="n">
        <v>0.49</v>
      </c>
      <c r="H92" s="7" t="n">
        <v>0.97840205498403</v>
      </c>
      <c r="I92" s="19"/>
    </row>
    <row r="93" customFormat="false" ht="15" hidden="false" customHeight="false" outlineLevel="0" collapsed="false">
      <c r="A93" s="45" t="s">
        <v>294</v>
      </c>
      <c r="B93" s="7" t="n">
        <v>0.2909</v>
      </c>
      <c r="C93" s="8" t="s">
        <v>33</v>
      </c>
      <c r="D93" s="7" t="n">
        <v>0.134100072623042</v>
      </c>
      <c r="E93" s="7" t="n">
        <f aca="false">INDEX(目标与口径!$F$5:$F$36,MATCH("upsell_rate",目标与口径!$A$5:$A$36,0))</f>
        <v>0.3</v>
      </c>
      <c r="F93" s="7" t="n">
        <v>-0.0090909090909091</v>
      </c>
      <c r="G93" s="64" t="n">
        <v>0.12</v>
      </c>
      <c r="H93" s="7" t="n">
        <v>1</v>
      </c>
      <c r="I93" s="19"/>
    </row>
    <row r="94" customFormat="false" ht="13.4" hidden="false" customHeight="false" outlineLevel="0" collapsed="false">
      <c r="A94" s="59" t="s">
        <v>331</v>
      </c>
      <c r="B94" s="59"/>
      <c r="C94" s="59"/>
      <c r="D94" s="59"/>
      <c r="E94" s="59"/>
      <c r="F94" s="59"/>
      <c r="G94" s="59"/>
      <c r="H94" s="59"/>
      <c r="I94" s="59"/>
    </row>
    <row r="96" customFormat="false" ht="24" hidden="false" customHeight="true" outlineLevel="0" collapsed="false">
      <c r="A96" s="44" t="s">
        <v>332</v>
      </c>
      <c r="B96" s="44"/>
      <c r="C96" s="44"/>
      <c r="D96" s="44"/>
      <c r="E96" s="44"/>
      <c r="F96" s="44"/>
      <c r="G96" s="44"/>
      <c r="H96" s="44"/>
      <c r="I96" s="44"/>
    </row>
    <row r="97" customFormat="false" ht="30" hidden="false" customHeight="true" outlineLevel="0" collapsed="false">
      <c r="A97" s="6" t="s">
        <v>300</v>
      </c>
      <c r="B97" s="6" t="s">
        <v>280</v>
      </c>
      <c r="C97" s="6" t="s">
        <v>7</v>
      </c>
      <c r="D97" s="6" t="s">
        <v>281</v>
      </c>
      <c r="E97" s="6" t="s">
        <v>282</v>
      </c>
      <c r="F97" s="6" t="s">
        <v>283</v>
      </c>
      <c r="G97" s="6" t="s">
        <v>284</v>
      </c>
      <c r="H97" s="6" t="s">
        <v>285</v>
      </c>
      <c r="I97" s="6" t="s">
        <v>265</v>
      </c>
    </row>
    <row r="98" customFormat="false" ht="15" hidden="false" customHeight="false" outlineLevel="0" collapsed="false">
      <c r="A98" s="45" t="s">
        <v>302</v>
      </c>
      <c r="B98" s="7" t="n">
        <v>0.2295</v>
      </c>
      <c r="C98" s="8" t="s">
        <v>34</v>
      </c>
      <c r="D98" s="7" t="n">
        <v>0.216641893385944</v>
      </c>
      <c r="E98" s="7" t="n">
        <f aca="false">INDEX(目标与口径!$F$5:$F$36,MATCH("upsell_rate",目标与口径!$A$5:$A$36,0))</f>
        <v>0.3</v>
      </c>
      <c r="F98" s="7" t="n">
        <v>-0.0705382436260623</v>
      </c>
      <c r="G98" s="64" t="n">
        <v>1.53</v>
      </c>
      <c r="H98" s="7" t="n">
        <v>0.785172569651273</v>
      </c>
      <c r="I98" s="19"/>
    </row>
    <row r="99" customFormat="false" ht="15" hidden="false" customHeight="false" outlineLevel="0" collapsed="false">
      <c r="A99" s="45" t="s">
        <v>303</v>
      </c>
      <c r="B99" s="7" t="n">
        <v>0.2696</v>
      </c>
      <c r="C99" s="8" t="s">
        <v>34</v>
      </c>
      <c r="D99" s="7" t="n">
        <v>0.137379361981748</v>
      </c>
      <c r="E99" s="7" t="n">
        <f aca="false">INDEX(目标与口径!$F$5:$F$36,MATCH("upsell_rate",目标与口径!$A$5:$A$36,0))</f>
        <v>0.3</v>
      </c>
      <c r="F99" s="7" t="n">
        <v>-0.0304347826086957</v>
      </c>
      <c r="G99" s="64" t="n">
        <v>0.42</v>
      </c>
      <c r="H99" s="7" t="n">
        <v>1</v>
      </c>
      <c r="I99" s="19"/>
    </row>
    <row r="100" customFormat="false" ht="13.4" hidden="false" customHeight="false" outlineLevel="0" collapsed="false">
      <c r="A100" s="59" t="s">
        <v>333</v>
      </c>
      <c r="B100" s="59"/>
      <c r="C100" s="59"/>
      <c r="D100" s="59"/>
      <c r="E100" s="59"/>
      <c r="F100" s="59"/>
      <c r="G100" s="59"/>
      <c r="H100" s="59"/>
      <c r="I100" s="59"/>
    </row>
    <row r="102" customFormat="false" ht="25.5" hidden="false" customHeight="true" outlineLevel="0" collapsed="false">
      <c r="A102" s="21" t="s">
        <v>334</v>
      </c>
      <c r="B102" s="21"/>
      <c r="C102" s="21"/>
      <c r="D102" s="21"/>
      <c r="E102" s="21"/>
      <c r="F102" s="21"/>
      <c r="G102" s="21"/>
      <c r="H102" s="21"/>
      <c r="I102" s="21"/>
    </row>
  </sheetData>
  <mergeCells count="25">
    <mergeCell ref="A1:I1"/>
    <mergeCell ref="A2:I2"/>
    <mergeCell ref="A4:I4"/>
    <mergeCell ref="A9:I9"/>
    <mergeCell ref="A11:I11"/>
    <mergeCell ref="A18:I18"/>
    <mergeCell ref="A20:I20"/>
    <mergeCell ref="A27:I27"/>
    <mergeCell ref="A29:I29"/>
    <mergeCell ref="A36:I36"/>
    <mergeCell ref="A38:I38"/>
    <mergeCell ref="A44:I44"/>
    <mergeCell ref="A46:I46"/>
    <mergeCell ref="A56:I56"/>
    <mergeCell ref="A58:I58"/>
    <mergeCell ref="A64:I64"/>
    <mergeCell ref="A66:I66"/>
    <mergeCell ref="A73:I73"/>
    <mergeCell ref="A75:I75"/>
    <mergeCell ref="A85:I85"/>
    <mergeCell ref="A87:I87"/>
    <mergeCell ref="A94:I94"/>
    <mergeCell ref="A96:I96"/>
    <mergeCell ref="A100:I100"/>
    <mergeCell ref="A102:I102"/>
  </mergeCells>
  <conditionalFormatting sqref="C6:C8">
    <cfRule type="cellIs" priority="2" operator="equal" aboveAverage="0" equalAverage="0" bottom="0" percent="0" rank="0" text="" dxfId="0">
      <formula>"红"</formula>
    </cfRule>
    <cfRule type="cellIs" priority="3" operator="equal" aboveAverage="0" equalAverage="0" bottom="0" percent="0" rank="0" text="" dxfId="1">
      <formula>"黄"</formula>
    </cfRule>
    <cfRule type="cellIs" priority="4" operator="equal" aboveAverage="0" equalAverage="0" bottom="0" percent="0" rank="0" text="" dxfId="2">
      <formula>"绿"</formula>
    </cfRule>
  </conditionalFormatting>
  <conditionalFormatting sqref="G6:G8">
    <cfRule type="colorScale" priority="5">
      <colorScale>
        <cfvo type="min" val="0"/>
        <cfvo type="max" val="0"/>
        <color rgb="FFFFFFFF"/>
        <color rgb="FFF5A3A3"/>
      </colorScale>
    </cfRule>
  </conditionalFormatting>
  <conditionalFormatting sqref="C13:C17">
    <cfRule type="cellIs" priority="6" operator="equal" aboveAverage="0" equalAverage="0" bottom="0" percent="0" rank="0" text="" dxfId="0">
      <formula>"红"</formula>
    </cfRule>
    <cfRule type="cellIs" priority="7" operator="equal" aboveAverage="0" equalAverage="0" bottom="0" percent="0" rank="0" text="" dxfId="1">
      <formula>"黄"</formula>
    </cfRule>
    <cfRule type="cellIs" priority="8" operator="equal" aboveAverage="0" equalAverage="0" bottom="0" percent="0" rank="0" text="" dxfId="2">
      <formula>"绿"</formula>
    </cfRule>
  </conditionalFormatting>
  <conditionalFormatting sqref="G13:G17">
    <cfRule type="colorScale" priority="9">
      <colorScale>
        <cfvo type="min" val="0"/>
        <cfvo type="max" val="0"/>
        <color rgb="FFFFFFFF"/>
        <color rgb="FFF5A3A3"/>
      </colorScale>
    </cfRule>
  </conditionalFormatting>
  <conditionalFormatting sqref="C22:C26">
    <cfRule type="cellIs" priority="10" operator="equal" aboveAverage="0" equalAverage="0" bottom="0" percent="0" rank="0" text="" dxfId="0">
      <formula>"红"</formula>
    </cfRule>
    <cfRule type="cellIs" priority="11" operator="equal" aboveAverage="0" equalAverage="0" bottom="0" percent="0" rank="0" text="" dxfId="1">
      <formula>"黄"</formula>
    </cfRule>
    <cfRule type="cellIs" priority="12" operator="equal" aboveAverage="0" equalAverage="0" bottom="0" percent="0" rank="0" text="" dxfId="2">
      <formula>"绿"</formula>
    </cfRule>
  </conditionalFormatting>
  <conditionalFormatting sqref="G22:G26">
    <cfRule type="colorScale" priority="13">
      <colorScale>
        <cfvo type="min" val="0"/>
        <cfvo type="max" val="0"/>
        <color rgb="FFFFFFFF"/>
        <color rgb="FFF5A3A3"/>
      </colorScale>
    </cfRule>
  </conditionalFormatting>
  <conditionalFormatting sqref="C31:C35">
    <cfRule type="cellIs" priority="14" operator="equal" aboveAverage="0" equalAverage="0" bottom="0" percent="0" rank="0" text="" dxfId="0">
      <formula>"红"</formula>
    </cfRule>
    <cfRule type="cellIs" priority="15" operator="equal" aboveAverage="0" equalAverage="0" bottom="0" percent="0" rank="0" text="" dxfId="1">
      <formula>"黄"</formula>
    </cfRule>
    <cfRule type="cellIs" priority="16" operator="equal" aboveAverage="0" equalAverage="0" bottom="0" percent="0" rank="0" text="" dxfId="2">
      <formula>"绿"</formula>
    </cfRule>
  </conditionalFormatting>
  <conditionalFormatting sqref="G31:G35">
    <cfRule type="colorScale" priority="17">
      <colorScale>
        <cfvo type="min" val="0"/>
        <cfvo type="max" val="0"/>
        <color rgb="FFFFFFFF"/>
        <color rgb="FFF5A3A3"/>
      </colorScale>
    </cfRule>
  </conditionalFormatting>
  <conditionalFormatting sqref="C40:C43">
    <cfRule type="cellIs" priority="18" operator="equal" aboveAverage="0" equalAverage="0" bottom="0" percent="0" rank="0" text="" dxfId="0">
      <formula>"红"</formula>
    </cfRule>
    <cfRule type="cellIs" priority="19" operator="equal" aboveAverage="0" equalAverage="0" bottom="0" percent="0" rank="0" text="" dxfId="1">
      <formula>"黄"</formula>
    </cfRule>
    <cfRule type="cellIs" priority="20" operator="equal" aboveAverage="0" equalAverage="0" bottom="0" percent="0" rank="0" text="" dxfId="2">
      <formula>"绿"</formula>
    </cfRule>
  </conditionalFormatting>
  <conditionalFormatting sqref="G40:G43">
    <cfRule type="colorScale" priority="21">
      <colorScale>
        <cfvo type="min" val="0"/>
        <cfvo type="max" val="0"/>
        <color rgb="FFFFFFFF"/>
        <color rgb="FFF5A3A3"/>
      </colorScale>
    </cfRule>
  </conditionalFormatting>
  <conditionalFormatting sqref="C48:C55">
    <cfRule type="cellIs" priority="22" operator="equal" aboveAverage="0" equalAverage="0" bottom="0" percent="0" rank="0" text="" dxfId="0">
      <formula>"红"</formula>
    </cfRule>
    <cfRule type="cellIs" priority="23" operator="equal" aboveAverage="0" equalAverage="0" bottom="0" percent="0" rank="0" text="" dxfId="1">
      <formula>"黄"</formula>
    </cfRule>
    <cfRule type="cellIs" priority="24" operator="equal" aboveAverage="0" equalAverage="0" bottom="0" percent="0" rank="0" text="" dxfId="2">
      <formula>"绿"</formula>
    </cfRule>
  </conditionalFormatting>
  <conditionalFormatting sqref="G48:G55">
    <cfRule type="colorScale" priority="25">
      <colorScale>
        <cfvo type="min" val="0"/>
        <cfvo type="max" val="0"/>
        <color rgb="FFFFFFFF"/>
        <color rgb="FFF5A3A3"/>
      </colorScale>
    </cfRule>
  </conditionalFormatting>
  <conditionalFormatting sqref="C60:C63">
    <cfRule type="cellIs" priority="26" operator="equal" aboveAverage="0" equalAverage="0" bottom="0" percent="0" rank="0" text="" dxfId="0">
      <formula>"红"</formula>
    </cfRule>
    <cfRule type="cellIs" priority="27" operator="equal" aboveAverage="0" equalAverage="0" bottom="0" percent="0" rank="0" text="" dxfId="1">
      <formula>"黄"</formula>
    </cfRule>
    <cfRule type="cellIs" priority="28" operator="equal" aboveAverage="0" equalAverage="0" bottom="0" percent="0" rank="0" text="" dxfId="2">
      <formula>"绿"</formula>
    </cfRule>
  </conditionalFormatting>
  <conditionalFormatting sqref="G60:G63">
    <cfRule type="colorScale" priority="29">
      <colorScale>
        <cfvo type="min" val="0"/>
        <cfvo type="max" val="0"/>
        <color rgb="FFFFFFFF"/>
        <color rgb="FFF5A3A3"/>
      </colorScale>
    </cfRule>
  </conditionalFormatting>
  <conditionalFormatting sqref="C68:C72">
    <cfRule type="cellIs" priority="30" operator="equal" aboveAverage="0" equalAverage="0" bottom="0" percent="0" rank="0" text="" dxfId="0">
      <formula>"红"</formula>
    </cfRule>
    <cfRule type="cellIs" priority="31" operator="equal" aboveAverage="0" equalAverage="0" bottom="0" percent="0" rank="0" text="" dxfId="1">
      <formula>"黄"</formula>
    </cfRule>
    <cfRule type="cellIs" priority="32" operator="equal" aboveAverage="0" equalAverage="0" bottom="0" percent="0" rank="0" text="" dxfId="2">
      <formula>"绿"</formula>
    </cfRule>
  </conditionalFormatting>
  <conditionalFormatting sqref="G68:G72">
    <cfRule type="colorScale" priority="33">
      <colorScale>
        <cfvo type="min" val="0"/>
        <cfvo type="max" val="0"/>
        <color rgb="FFFFFFFF"/>
        <color rgb="FFF5A3A3"/>
      </colorScale>
    </cfRule>
  </conditionalFormatting>
  <conditionalFormatting sqref="C77:C84">
    <cfRule type="cellIs" priority="34" operator="equal" aboveAverage="0" equalAverage="0" bottom="0" percent="0" rank="0" text="" dxfId="0">
      <formula>"红"</formula>
    </cfRule>
    <cfRule type="cellIs" priority="35" operator="equal" aboveAverage="0" equalAverage="0" bottom="0" percent="0" rank="0" text="" dxfId="1">
      <formula>"黄"</formula>
    </cfRule>
    <cfRule type="cellIs" priority="36" operator="equal" aboveAverage="0" equalAverage="0" bottom="0" percent="0" rank="0" text="" dxfId="2">
      <formula>"绿"</formula>
    </cfRule>
  </conditionalFormatting>
  <conditionalFormatting sqref="G77:G84">
    <cfRule type="colorScale" priority="37">
      <colorScale>
        <cfvo type="min" val="0"/>
        <cfvo type="max" val="0"/>
        <color rgb="FFFFFFFF"/>
        <color rgb="FFF5A3A3"/>
      </colorScale>
    </cfRule>
  </conditionalFormatting>
  <conditionalFormatting sqref="C89:C93">
    <cfRule type="cellIs" priority="38" operator="equal" aboveAverage="0" equalAverage="0" bottom="0" percent="0" rank="0" text="" dxfId="0">
      <formula>"红"</formula>
    </cfRule>
    <cfRule type="cellIs" priority="39" operator="equal" aboveAverage="0" equalAverage="0" bottom="0" percent="0" rank="0" text="" dxfId="1">
      <formula>"黄"</formula>
    </cfRule>
    <cfRule type="cellIs" priority="40" operator="equal" aboveAverage="0" equalAverage="0" bottom="0" percent="0" rank="0" text="" dxfId="2">
      <formula>"绿"</formula>
    </cfRule>
  </conditionalFormatting>
  <conditionalFormatting sqref="G89:G93">
    <cfRule type="colorScale" priority="41">
      <colorScale>
        <cfvo type="min" val="0"/>
        <cfvo type="max" val="0"/>
        <color rgb="FFFFFFFF"/>
        <color rgb="FFF5A3A3"/>
      </colorScale>
    </cfRule>
  </conditionalFormatting>
  <conditionalFormatting sqref="C98:C99">
    <cfRule type="cellIs" priority="42" operator="equal" aboveAverage="0" equalAverage="0" bottom="0" percent="0" rank="0" text="" dxfId="0">
      <formula>"红"</formula>
    </cfRule>
    <cfRule type="cellIs" priority="43" operator="equal" aboveAverage="0" equalAverage="0" bottom="0" percent="0" rank="0" text="" dxfId="1">
      <formula>"黄"</formula>
    </cfRule>
    <cfRule type="cellIs" priority="44" operator="equal" aboveAverage="0" equalAverage="0" bottom="0" percent="0" rank="0" text="" dxfId="2">
      <formula>"绿"</formula>
    </cfRule>
  </conditionalFormatting>
  <conditionalFormatting sqref="G98:G99">
    <cfRule type="colorScale" priority="45">
      <colorScale>
        <cfvo type="min" val="0"/>
        <cfvo type="max" val="0"/>
        <color rgb="FFFFFFFF"/>
        <color rgb="FFF5A3A3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7280"/>
    <pageSetUpPr fitToPage="false"/>
  </sheetPr>
  <dimension ref="A1:I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34"/>
    <col collapsed="false" customWidth="true" hidden="false" outlineLevel="0" max="7" min="7" style="0" width="32"/>
    <col collapsed="false" customWidth="true" hidden="false" outlineLevel="0" max="8" min="8" style="0" width="30"/>
    <col collapsed="false" customWidth="true" hidden="false" outlineLevel="0" max="9" min="9" style="0" width="38"/>
  </cols>
  <sheetData>
    <row r="1" customFormat="false" ht="30" hidden="false" customHeight="true" outlineLevel="0" collapsed="false">
      <c r="A1" s="1" t="s">
        <v>335</v>
      </c>
      <c r="B1" s="1"/>
      <c r="C1" s="1"/>
      <c r="D1" s="1"/>
      <c r="E1" s="1"/>
      <c r="F1" s="1"/>
      <c r="G1" s="1"/>
      <c r="H1" s="1"/>
      <c r="I1" s="1"/>
    </row>
    <row r="2" customFormat="false" ht="27.75" hidden="false" customHeight="true" outlineLevel="0" collapsed="false">
      <c r="A2" s="2" t="s">
        <v>336</v>
      </c>
      <c r="B2" s="2"/>
      <c r="C2" s="2"/>
      <c r="D2" s="2"/>
      <c r="E2" s="2"/>
      <c r="F2" s="2"/>
      <c r="G2" s="2"/>
      <c r="H2" s="2"/>
      <c r="I2" s="2"/>
    </row>
    <row r="4" customFormat="false" ht="24" hidden="false" customHeight="true" outlineLevel="0" collapsed="false">
      <c r="A4" s="13" t="s">
        <v>337</v>
      </c>
      <c r="B4" s="13"/>
      <c r="C4" s="13"/>
      <c r="D4" s="13"/>
      <c r="E4" s="13"/>
      <c r="F4" s="13"/>
      <c r="G4" s="13"/>
      <c r="H4" s="13"/>
      <c r="I4" s="13"/>
    </row>
    <row r="5" customFormat="false" ht="30" hidden="false" customHeight="true" outlineLevel="0" collapsed="false">
      <c r="A5" s="6" t="s">
        <v>338</v>
      </c>
      <c r="B5" s="6" t="s">
        <v>339</v>
      </c>
      <c r="C5" s="6" t="s">
        <v>340</v>
      </c>
      <c r="D5" s="6" t="s">
        <v>341</v>
      </c>
      <c r="E5" s="6" t="s">
        <v>342</v>
      </c>
      <c r="F5" s="6" t="s">
        <v>343</v>
      </c>
      <c r="G5" s="6" t="s">
        <v>344</v>
      </c>
      <c r="H5" s="6" t="s">
        <v>345</v>
      </c>
      <c r="I5" s="6" t="s">
        <v>346</v>
      </c>
    </row>
    <row r="6" customFormat="false" ht="42" hidden="false" customHeight="true" outlineLevel="0" collapsed="false">
      <c r="A6" s="65" t="s">
        <v>347</v>
      </c>
      <c r="B6" s="66" t="s">
        <v>348</v>
      </c>
      <c r="C6" s="67" t="s">
        <v>349</v>
      </c>
      <c r="D6" s="42" t="n">
        <v>5</v>
      </c>
      <c r="E6" s="40" t="s">
        <v>350</v>
      </c>
      <c r="F6" s="41" t="s">
        <v>351</v>
      </c>
      <c r="G6" s="41" t="s">
        <v>352</v>
      </c>
      <c r="H6" s="67" t="s">
        <v>353</v>
      </c>
      <c r="I6" s="41" t="s">
        <v>354</v>
      </c>
    </row>
    <row r="7" customFormat="false" ht="42" hidden="false" customHeight="true" outlineLevel="0" collapsed="false">
      <c r="A7" s="16" t="s">
        <v>355</v>
      </c>
      <c r="B7" s="68" t="s">
        <v>356</v>
      </c>
      <c r="C7" s="69" t="s">
        <v>357</v>
      </c>
      <c r="D7" s="14" t="n">
        <v>8</v>
      </c>
      <c r="E7" s="10" t="s">
        <v>350</v>
      </c>
      <c r="F7" s="19" t="s">
        <v>358</v>
      </c>
      <c r="G7" s="19" t="s">
        <v>359</v>
      </c>
      <c r="H7" s="69" t="s">
        <v>360</v>
      </c>
      <c r="I7" s="19" t="s">
        <v>361</v>
      </c>
    </row>
    <row r="8" customFormat="false" ht="42" hidden="false" customHeight="true" outlineLevel="0" collapsed="false">
      <c r="A8" s="65" t="s">
        <v>362</v>
      </c>
      <c r="B8" s="66" t="s">
        <v>363</v>
      </c>
      <c r="C8" s="67" t="s">
        <v>364</v>
      </c>
      <c r="D8" s="42" t="n">
        <v>10</v>
      </c>
      <c r="E8" s="40" t="s">
        <v>365</v>
      </c>
      <c r="F8" s="41" t="s">
        <v>366</v>
      </c>
      <c r="G8" s="41" t="s">
        <v>367</v>
      </c>
      <c r="H8" s="67" t="s">
        <v>368</v>
      </c>
      <c r="I8" s="41" t="s">
        <v>369</v>
      </c>
    </row>
    <row r="9" customFormat="false" ht="42" hidden="false" customHeight="true" outlineLevel="0" collapsed="false">
      <c r="A9" s="16" t="s">
        <v>370</v>
      </c>
      <c r="B9" s="68" t="s">
        <v>371</v>
      </c>
      <c r="C9" s="69" t="s">
        <v>372</v>
      </c>
      <c r="D9" s="14" t="n">
        <v>8</v>
      </c>
      <c r="E9" s="10" t="s">
        <v>350</v>
      </c>
      <c r="F9" s="19" t="s">
        <v>373</v>
      </c>
      <c r="G9" s="19" t="s">
        <v>374</v>
      </c>
      <c r="H9" s="69" t="s">
        <v>375</v>
      </c>
      <c r="I9" s="19" t="s">
        <v>376</v>
      </c>
    </row>
    <row r="10" customFormat="false" ht="42" hidden="false" customHeight="true" outlineLevel="0" collapsed="false">
      <c r="A10" s="65" t="s">
        <v>377</v>
      </c>
      <c r="B10" s="66" t="s">
        <v>378</v>
      </c>
      <c r="C10" s="41" t="s">
        <v>379</v>
      </c>
      <c r="D10" s="42" t="n">
        <v>2</v>
      </c>
      <c r="E10" s="40" t="s">
        <v>365</v>
      </c>
      <c r="F10" s="41" t="s">
        <v>380</v>
      </c>
      <c r="G10" s="41" t="s">
        <v>381</v>
      </c>
      <c r="H10" s="67" t="s">
        <v>382</v>
      </c>
      <c r="I10" s="41" t="s">
        <v>383</v>
      </c>
    </row>
    <row r="11" customFormat="false" ht="42" hidden="false" customHeight="true" outlineLevel="0" collapsed="false">
      <c r="A11" s="16" t="s">
        <v>384</v>
      </c>
      <c r="B11" s="68" t="s">
        <v>385</v>
      </c>
      <c r="C11" s="19" t="s">
        <v>386</v>
      </c>
      <c r="D11" s="14" t="n">
        <v>3</v>
      </c>
      <c r="E11" s="10" t="s">
        <v>365</v>
      </c>
      <c r="F11" s="19" t="s">
        <v>387</v>
      </c>
      <c r="G11" s="19" t="s">
        <v>388</v>
      </c>
      <c r="H11" s="69" t="s">
        <v>389</v>
      </c>
      <c r="I11" s="19" t="s">
        <v>390</v>
      </c>
    </row>
    <row r="12" customFormat="false" ht="42" hidden="false" customHeight="true" outlineLevel="0" collapsed="false">
      <c r="A12" s="65" t="s">
        <v>391</v>
      </c>
      <c r="B12" s="66" t="s">
        <v>392</v>
      </c>
      <c r="C12" s="41" t="s">
        <v>393</v>
      </c>
      <c r="D12" s="42" t="n">
        <v>5</v>
      </c>
      <c r="E12" s="40" t="s">
        <v>350</v>
      </c>
      <c r="F12" s="41" t="s">
        <v>394</v>
      </c>
      <c r="G12" s="41" t="s">
        <v>395</v>
      </c>
      <c r="H12" s="67" t="s">
        <v>396</v>
      </c>
      <c r="I12" s="67" t="s">
        <v>397</v>
      </c>
    </row>
    <row r="13" customFormat="false" ht="42" hidden="false" customHeight="true" outlineLevel="0" collapsed="false">
      <c r="A13" s="16" t="s">
        <v>398</v>
      </c>
      <c r="B13" s="68" t="s">
        <v>399</v>
      </c>
      <c r="C13" s="69" t="s">
        <v>400</v>
      </c>
      <c r="D13" s="14" t="n">
        <v>5</v>
      </c>
      <c r="E13" s="10" t="s">
        <v>365</v>
      </c>
      <c r="F13" s="19" t="s">
        <v>401</v>
      </c>
      <c r="G13" s="19" t="s">
        <v>402</v>
      </c>
      <c r="H13" s="69" t="s">
        <v>403</v>
      </c>
      <c r="I13" s="19" t="s">
        <v>404</v>
      </c>
    </row>
    <row r="14" customFormat="false" ht="42" hidden="false" customHeight="true" outlineLevel="0" collapsed="false">
      <c r="A14" s="65" t="s">
        <v>405</v>
      </c>
      <c r="B14" s="66" t="s">
        <v>406</v>
      </c>
      <c r="C14" s="67" t="s">
        <v>204</v>
      </c>
      <c r="D14" s="42" t="n">
        <v>5</v>
      </c>
      <c r="E14" s="40" t="s">
        <v>350</v>
      </c>
      <c r="F14" s="41" t="s">
        <v>407</v>
      </c>
      <c r="G14" s="41" t="s">
        <v>408</v>
      </c>
      <c r="H14" s="67" t="s">
        <v>409</v>
      </c>
      <c r="I14" s="41" t="s">
        <v>410</v>
      </c>
    </row>
    <row r="15" customFormat="false" ht="42" hidden="false" customHeight="true" outlineLevel="0" collapsed="false">
      <c r="A15" s="16" t="s">
        <v>411</v>
      </c>
      <c r="B15" s="68" t="s">
        <v>412</v>
      </c>
      <c r="C15" s="69" t="s">
        <v>208</v>
      </c>
      <c r="D15" s="14" t="n">
        <v>5</v>
      </c>
      <c r="E15" s="10" t="s">
        <v>365</v>
      </c>
      <c r="F15" s="19" t="s">
        <v>413</v>
      </c>
      <c r="G15" s="19" t="s">
        <v>414</v>
      </c>
      <c r="H15" s="69" t="s">
        <v>415</v>
      </c>
      <c r="I15" s="19" t="s">
        <v>416</v>
      </c>
    </row>
    <row r="16" customFormat="false" ht="42" hidden="false" customHeight="true" outlineLevel="0" collapsed="false">
      <c r="A16" s="65" t="s">
        <v>417</v>
      </c>
      <c r="B16" s="66" t="s">
        <v>418</v>
      </c>
      <c r="C16" s="67" t="s">
        <v>419</v>
      </c>
      <c r="D16" s="42" t="n">
        <v>12</v>
      </c>
      <c r="E16" s="40" t="s">
        <v>350</v>
      </c>
      <c r="F16" s="41" t="s">
        <v>420</v>
      </c>
      <c r="G16" s="41" t="s">
        <v>421</v>
      </c>
      <c r="H16" s="67" t="s">
        <v>422</v>
      </c>
      <c r="I16" s="41" t="s">
        <v>423</v>
      </c>
    </row>
    <row r="17" customFormat="false" ht="42" hidden="false" customHeight="true" outlineLevel="0" collapsed="false">
      <c r="A17" s="16" t="s">
        <v>424</v>
      </c>
      <c r="B17" s="68" t="s">
        <v>425</v>
      </c>
      <c r="C17" s="19" t="s">
        <v>426</v>
      </c>
      <c r="D17" s="14" t="n">
        <v>5</v>
      </c>
      <c r="E17" s="10" t="s">
        <v>365</v>
      </c>
      <c r="F17" s="19" t="s">
        <v>427</v>
      </c>
      <c r="G17" s="19" t="s">
        <v>428</v>
      </c>
      <c r="H17" s="69" t="s">
        <v>429</v>
      </c>
      <c r="I17" s="19" t="s">
        <v>430</v>
      </c>
    </row>
    <row r="18" customFormat="false" ht="15" hidden="false" customHeight="false" outlineLevel="0" collapsed="false">
      <c r="B18" s="3" t="s">
        <v>431</v>
      </c>
      <c r="D18" s="70" t="n">
        <f aca="false">SUM(D6:D17)</f>
        <v>73</v>
      </c>
      <c r="F18" s="3" t="s">
        <v>432</v>
      </c>
    </row>
    <row r="20" customFormat="false" ht="24" hidden="false" customHeight="true" outlineLevel="0" collapsed="false">
      <c r="A20" s="13" t="s">
        <v>433</v>
      </c>
      <c r="B20" s="13"/>
      <c r="C20" s="13"/>
      <c r="D20" s="13"/>
      <c r="E20" s="13"/>
      <c r="F20" s="13"/>
      <c r="G20" s="13"/>
      <c r="H20" s="13"/>
      <c r="I20" s="13"/>
    </row>
    <row r="21" customFormat="false" ht="30" hidden="false" customHeight="true" outlineLevel="0" collapsed="false">
      <c r="A21" s="6" t="s">
        <v>338</v>
      </c>
      <c r="B21" s="6" t="s">
        <v>339</v>
      </c>
      <c r="C21" s="6" t="s">
        <v>434</v>
      </c>
      <c r="D21" s="6"/>
      <c r="E21" s="6" t="s">
        <v>342</v>
      </c>
      <c r="F21" s="6" t="s">
        <v>343</v>
      </c>
      <c r="G21" s="6" t="s">
        <v>344</v>
      </c>
      <c r="H21" s="6"/>
      <c r="I21" s="6"/>
    </row>
    <row r="22" customFormat="false" ht="31.5" hidden="false" customHeight="true" outlineLevel="0" collapsed="false">
      <c r="A22" s="16" t="s">
        <v>435</v>
      </c>
      <c r="B22" s="68" t="s">
        <v>436</v>
      </c>
      <c r="C22" s="10" t="s">
        <v>437</v>
      </c>
      <c r="E22" s="10" t="s">
        <v>350</v>
      </c>
      <c r="F22" s="19" t="s">
        <v>438</v>
      </c>
      <c r="G22" s="19" t="s">
        <v>439</v>
      </c>
    </row>
    <row r="23" customFormat="false" ht="31.5" hidden="false" customHeight="true" outlineLevel="0" collapsed="false">
      <c r="A23" s="16" t="s">
        <v>440</v>
      </c>
      <c r="B23" s="68" t="s">
        <v>441</v>
      </c>
      <c r="C23" s="10" t="s">
        <v>437</v>
      </c>
      <c r="E23" s="10" t="s">
        <v>350</v>
      </c>
      <c r="F23" s="19" t="s">
        <v>442</v>
      </c>
      <c r="G23" s="69" t="s">
        <v>443</v>
      </c>
    </row>
    <row r="24" customFormat="false" ht="31.5" hidden="false" customHeight="true" outlineLevel="0" collapsed="false">
      <c r="A24" s="16" t="s">
        <v>444</v>
      </c>
      <c r="B24" s="68" t="s">
        <v>445</v>
      </c>
      <c r="C24" s="10" t="s">
        <v>437</v>
      </c>
      <c r="E24" s="10" t="s">
        <v>365</v>
      </c>
      <c r="F24" s="19" t="s">
        <v>446</v>
      </c>
      <c r="G24" s="19" t="s">
        <v>447</v>
      </c>
    </row>
    <row r="25" customFormat="false" ht="31.5" hidden="false" customHeight="true" outlineLevel="0" collapsed="false">
      <c r="A25" s="16" t="s">
        <v>448</v>
      </c>
      <c r="B25" s="68" t="s">
        <v>449</v>
      </c>
      <c r="C25" s="10" t="s">
        <v>437</v>
      </c>
      <c r="E25" s="10" t="s">
        <v>350</v>
      </c>
      <c r="F25" s="19" t="s">
        <v>450</v>
      </c>
      <c r="G25" s="19" t="s">
        <v>451</v>
      </c>
    </row>
    <row r="27" customFormat="false" ht="24" hidden="false" customHeight="true" outlineLevel="0" collapsed="false">
      <c r="A27" s="13" t="s">
        <v>452</v>
      </c>
      <c r="B27" s="13"/>
      <c r="C27" s="13"/>
      <c r="D27" s="13"/>
      <c r="E27" s="13"/>
      <c r="F27" s="13"/>
      <c r="G27" s="13"/>
      <c r="H27" s="13"/>
      <c r="I27" s="13"/>
    </row>
    <row r="28" customFormat="false" ht="30" hidden="false" customHeight="true" outlineLevel="0" collapsed="false">
      <c r="A28" s="6" t="s">
        <v>11</v>
      </c>
      <c r="B28" s="6" t="s">
        <v>453</v>
      </c>
      <c r="C28" s="6" t="s">
        <v>437</v>
      </c>
      <c r="D28" s="6" t="s">
        <v>454</v>
      </c>
      <c r="E28" s="6"/>
      <c r="F28" s="6"/>
      <c r="G28" s="6"/>
      <c r="H28" s="6"/>
      <c r="I28" s="6"/>
    </row>
    <row r="29" customFormat="false" ht="39.75" hidden="false" customHeight="true" outlineLevel="0" collapsed="false">
      <c r="A29" s="3" t="s">
        <v>350</v>
      </c>
      <c r="B29" s="19" t="s">
        <v>455</v>
      </c>
      <c r="C29" s="69" t="s">
        <v>456</v>
      </c>
      <c r="D29" s="69" t="s">
        <v>457</v>
      </c>
    </row>
    <row r="30" customFormat="false" ht="39.75" hidden="false" customHeight="true" outlineLevel="0" collapsed="false">
      <c r="A30" s="3" t="s">
        <v>365</v>
      </c>
      <c r="B30" s="19" t="s">
        <v>458</v>
      </c>
      <c r="C30" s="69" t="s">
        <v>457</v>
      </c>
      <c r="D30" s="69" t="s">
        <v>457</v>
      </c>
    </row>
    <row r="31" customFormat="false" ht="39.75" hidden="false" customHeight="true" outlineLevel="0" collapsed="false">
      <c r="A31" s="3" t="s">
        <v>459</v>
      </c>
      <c r="B31" s="19" t="s">
        <v>460</v>
      </c>
      <c r="C31" s="69" t="s">
        <v>457</v>
      </c>
      <c r="D31" s="69" t="s">
        <v>457</v>
      </c>
    </row>
    <row r="32" customFormat="false" ht="39.75" hidden="false" customHeight="true" outlineLevel="0" collapsed="false">
      <c r="A32" s="3" t="s">
        <v>461</v>
      </c>
      <c r="B32" s="69" t="s">
        <v>457</v>
      </c>
      <c r="C32" s="19" t="s">
        <v>88</v>
      </c>
      <c r="D32" s="69" t="s">
        <v>457</v>
      </c>
    </row>
    <row r="34" customFormat="false" ht="25.5" hidden="false" customHeight="true" outlineLevel="0" collapsed="false">
      <c r="A34" s="21" t="s">
        <v>462</v>
      </c>
      <c r="B34" s="21"/>
      <c r="C34" s="21"/>
      <c r="D34" s="21"/>
      <c r="E34" s="21"/>
      <c r="F34" s="21"/>
      <c r="G34" s="21"/>
      <c r="H34" s="21"/>
      <c r="I34" s="21"/>
    </row>
  </sheetData>
  <mergeCells count="6">
    <mergeCell ref="A1:I1"/>
    <mergeCell ref="A2:I2"/>
    <mergeCell ref="A4:I4"/>
    <mergeCell ref="A20:I20"/>
    <mergeCell ref="A27:I27"/>
    <mergeCell ref="A34:I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7280"/>
    <pageSetUpPr fitToPage="false"/>
  </sheetPr>
  <dimension ref="A1:E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4" min="4" style="0" width="62"/>
    <col collapsed="false" customWidth="true" hidden="false" outlineLevel="0" max="5" min="5" style="0" width="34"/>
  </cols>
  <sheetData>
    <row r="1" customFormat="false" ht="30" hidden="false" customHeight="true" outlineLevel="0" collapsed="false">
      <c r="A1" s="1" t="s">
        <v>463</v>
      </c>
      <c r="B1" s="1"/>
      <c r="C1" s="1"/>
      <c r="D1" s="1"/>
      <c r="E1" s="1"/>
    </row>
    <row r="2" customFormat="false" ht="27.75" hidden="false" customHeight="true" outlineLevel="0" collapsed="false">
      <c r="A2" s="2" t="s">
        <v>464</v>
      </c>
      <c r="B2" s="2"/>
      <c r="C2" s="2"/>
      <c r="D2" s="2"/>
      <c r="E2" s="2"/>
    </row>
    <row r="4" customFormat="false" ht="30" hidden="false" customHeight="true" outlineLevel="0" collapsed="false">
      <c r="A4" s="6" t="s">
        <v>338</v>
      </c>
      <c r="B4" s="6" t="s">
        <v>465</v>
      </c>
      <c r="C4" s="6" t="s">
        <v>466</v>
      </c>
      <c r="D4" s="6" t="s">
        <v>467</v>
      </c>
      <c r="E4" s="6" t="s">
        <v>468</v>
      </c>
    </row>
    <row r="5" customFormat="false" ht="61.5" hidden="false" customHeight="true" outlineLevel="0" collapsed="false">
      <c r="A5" s="16" t="s">
        <v>469</v>
      </c>
      <c r="B5" s="68" t="s">
        <v>470</v>
      </c>
      <c r="C5" s="19" t="s">
        <v>471</v>
      </c>
      <c r="D5" s="19" t="s">
        <v>472</v>
      </c>
      <c r="E5" s="19" t="s">
        <v>473</v>
      </c>
    </row>
    <row r="6" customFormat="false" ht="61.5" hidden="false" customHeight="true" outlineLevel="0" collapsed="false">
      <c r="A6" s="65" t="s">
        <v>474</v>
      </c>
      <c r="B6" s="66" t="s">
        <v>475</v>
      </c>
      <c r="C6" s="41" t="s">
        <v>476</v>
      </c>
      <c r="D6" s="41" t="s">
        <v>477</v>
      </c>
      <c r="E6" s="41" t="s">
        <v>478</v>
      </c>
    </row>
    <row r="7" customFormat="false" ht="61.5" hidden="false" customHeight="true" outlineLevel="0" collapsed="false">
      <c r="A7" s="16" t="s">
        <v>479</v>
      </c>
      <c r="B7" s="68" t="s">
        <v>480</v>
      </c>
      <c r="C7" s="19" t="s">
        <v>481</v>
      </c>
      <c r="D7" s="19" t="s">
        <v>482</v>
      </c>
      <c r="E7" s="19" t="s">
        <v>483</v>
      </c>
    </row>
    <row r="8" customFormat="false" ht="61.5" hidden="false" customHeight="true" outlineLevel="0" collapsed="false">
      <c r="A8" s="65" t="s">
        <v>484</v>
      </c>
      <c r="B8" s="66" t="s">
        <v>485</v>
      </c>
      <c r="C8" s="41" t="s">
        <v>486</v>
      </c>
      <c r="D8" s="41" t="s">
        <v>487</v>
      </c>
      <c r="E8" s="41" t="s">
        <v>488</v>
      </c>
    </row>
    <row r="9" customFormat="false" ht="61.5" hidden="false" customHeight="true" outlineLevel="0" collapsed="false">
      <c r="A9" s="16" t="s">
        <v>489</v>
      </c>
      <c r="B9" s="68" t="s">
        <v>490</v>
      </c>
      <c r="C9" s="19" t="s">
        <v>491</v>
      </c>
      <c r="D9" s="19" t="s">
        <v>492</v>
      </c>
      <c r="E9" s="19" t="s">
        <v>493</v>
      </c>
    </row>
    <row r="10" customFormat="false" ht="61.5" hidden="false" customHeight="true" outlineLevel="0" collapsed="false">
      <c r="A10" s="65" t="s">
        <v>494</v>
      </c>
      <c r="B10" s="66" t="s">
        <v>495</v>
      </c>
      <c r="C10" s="41" t="s">
        <v>496</v>
      </c>
      <c r="D10" s="41" t="s">
        <v>497</v>
      </c>
      <c r="E10" s="41" t="s">
        <v>498</v>
      </c>
    </row>
    <row r="11" customFormat="false" ht="61.5" hidden="false" customHeight="true" outlineLevel="0" collapsed="false">
      <c r="A11" s="16" t="s">
        <v>499</v>
      </c>
      <c r="B11" s="68" t="s">
        <v>500</v>
      </c>
      <c r="C11" s="19" t="s">
        <v>501</v>
      </c>
      <c r="D11" s="69" t="s">
        <v>502</v>
      </c>
      <c r="E11" s="19" t="s">
        <v>503</v>
      </c>
    </row>
    <row r="12" customFormat="false" ht="61.5" hidden="false" customHeight="true" outlineLevel="0" collapsed="false">
      <c r="A12" s="65" t="s">
        <v>504</v>
      </c>
      <c r="B12" s="66" t="s">
        <v>92</v>
      </c>
      <c r="C12" s="41" t="s">
        <v>505</v>
      </c>
      <c r="D12" s="41" t="s">
        <v>506</v>
      </c>
      <c r="E12" s="41" t="s">
        <v>507</v>
      </c>
    </row>
    <row r="13" customFormat="false" ht="61.5" hidden="false" customHeight="true" outlineLevel="0" collapsed="false">
      <c r="A13" s="16" t="s">
        <v>508</v>
      </c>
      <c r="B13" s="68" t="s">
        <v>509</v>
      </c>
      <c r="C13" s="19" t="s">
        <v>510</v>
      </c>
      <c r="D13" s="19" t="s">
        <v>511</v>
      </c>
      <c r="E13" s="19" t="s">
        <v>512</v>
      </c>
    </row>
    <row r="14" customFormat="false" ht="61.5" hidden="false" customHeight="true" outlineLevel="0" collapsed="false">
      <c r="A14" s="65" t="s">
        <v>513</v>
      </c>
      <c r="B14" s="66" t="s">
        <v>514</v>
      </c>
      <c r="C14" s="41" t="s">
        <v>515</v>
      </c>
      <c r="D14" s="41" t="s">
        <v>516</v>
      </c>
      <c r="E14" s="41" t="s">
        <v>517</v>
      </c>
    </row>
    <row r="15" customFormat="false" ht="61.5" hidden="false" customHeight="true" outlineLevel="0" collapsed="false">
      <c r="A15" s="16" t="s">
        <v>518</v>
      </c>
      <c r="B15" s="68" t="s">
        <v>519</v>
      </c>
      <c r="C15" s="19" t="s">
        <v>520</v>
      </c>
      <c r="D15" s="19" t="s">
        <v>521</v>
      </c>
      <c r="E15" s="19" t="s">
        <v>522</v>
      </c>
    </row>
    <row r="16" customFormat="false" ht="61.5" hidden="false" customHeight="true" outlineLevel="0" collapsed="false">
      <c r="A16" s="65" t="s">
        <v>523</v>
      </c>
      <c r="B16" s="66" t="s">
        <v>524</v>
      </c>
      <c r="C16" s="41" t="s">
        <v>525</v>
      </c>
      <c r="D16" s="41" t="s">
        <v>526</v>
      </c>
      <c r="E16" s="41" t="s">
        <v>527</v>
      </c>
    </row>
    <row r="18" customFormat="false" ht="25.5" hidden="false" customHeight="true" outlineLevel="0" collapsed="false">
      <c r="A18" s="21" t="s">
        <v>528</v>
      </c>
      <c r="B18" s="21"/>
      <c r="C18" s="21"/>
      <c r="D18" s="21"/>
      <c r="E18" s="21"/>
    </row>
  </sheetData>
  <mergeCells count="3">
    <mergeCell ref="A1:E1"/>
    <mergeCell ref="A2:E2"/>
    <mergeCell ref="A18:E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A6100"/>
    <pageSetUpPr fitToPage="false"/>
  </sheetPr>
  <dimension ref="A1:N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44"/>
    <col collapsed="false" customWidth="true" hidden="false" outlineLevel="0" max="5" min="5" style="0" width="14"/>
    <col collapsed="false" customWidth="true" hidden="false" outlineLevel="0" max="9" min="6" style="0" width="10"/>
    <col collapsed="false" customWidth="true" hidden="false" outlineLevel="0" max="10" min="10" style="0" width="12"/>
    <col collapsed="false" customWidth="true" hidden="false" outlineLevel="0" max="11" min="11" style="0" width="8"/>
    <col collapsed="false" customWidth="true" hidden="false" outlineLevel="0" max="14" min="12" style="0" width="9"/>
  </cols>
  <sheetData>
    <row r="1" customFormat="false" ht="30" hidden="false" customHeight="true" outlineLevel="0" collapsed="false">
      <c r="A1" s="1" t="s">
        <v>529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27.75" hidden="false" customHeight="true" outlineLevel="0" collapsed="false">
      <c r="A2" s="2" t="s">
        <v>530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30" hidden="false" customHeight="true" outlineLevel="0" collapsed="false">
      <c r="A4" s="6" t="s">
        <v>97</v>
      </c>
      <c r="B4" s="6" t="s">
        <v>4</v>
      </c>
      <c r="C4" s="6" t="s">
        <v>32</v>
      </c>
      <c r="D4" s="6" t="s">
        <v>531</v>
      </c>
      <c r="E4" s="6" t="s">
        <v>532</v>
      </c>
      <c r="F4" s="6" t="s">
        <v>6</v>
      </c>
      <c r="G4" s="6" t="s">
        <v>8</v>
      </c>
      <c r="H4" s="6" t="s">
        <v>9</v>
      </c>
      <c r="I4" s="6" t="s">
        <v>167</v>
      </c>
      <c r="J4" s="6" t="s">
        <v>11</v>
      </c>
      <c r="K4" s="6" t="s">
        <v>434</v>
      </c>
      <c r="L4" s="6" t="s">
        <v>98</v>
      </c>
      <c r="M4" s="6" t="s">
        <v>99</v>
      </c>
      <c r="N4" s="6" t="s">
        <v>12</v>
      </c>
    </row>
    <row r="5" customFormat="false" ht="25.5" hidden="false" customHeight="true" outlineLevel="0" collapsed="false">
      <c r="A5" s="33" t="s">
        <v>126</v>
      </c>
      <c r="B5" s="3" t="s">
        <v>127</v>
      </c>
      <c r="C5" s="10" t="s">
        <v>36</v>
      </c>
      <c r="D5" s="69" t="s">
        <v>533</v>
      </c>
      <c r="E5" s="10" t="s">
        <v>534</v>
      </c>
      <c r="F5" s="71" t="n">
        <v>35.5</v>
      </c>
      <c r="G5" s="71" t="n">
        <v>35</v>
      </c>
      <c r="H5" s="71" t="n">
        <v>33</v>
      </c>
      <c r="I5" s="34" t="s">
        <v>535</v>
      </c>
      <c r="J5" s="10" t="s">
        <v>365</v>
      </c>
      <c r="K5" s="10" t="s">
        <v>453</v>
      </c>
      <c r="L5" s="72" t="n">
        <v>0.8</v>
      </c>
      <c r="M5" s="72" t="n">
        <v>0.75</v>
      </c>
      <c r="N5" s="34" t="s">
        <v>474</v>
      </c>
    </row>
    <row r="6" customFormat="false" ht="25.5" hidden="false" customHeight="true" outlineLevel="0" collapsed="false">
      <c r="A6" s="36" t="s">
        <v>128</v>
      </c>
      <c r="B6" s="37" t="s">
        <v>129</v>
      </c>
      <c r="C6" s="40" t="s">
        <v>36</v>
      </c>
      <c r="D6" s="41" t="s">
        <v>536</v>
      </c>
      <c r="E6" s="40" t="s">
        <v>537</v>
      </c>
      <c r="F6" s="73" t="n">
        <v>0.22</v>
      </c>
      <c r="G6" s="73" t="n">
        <v>0.3</v>
      </c>
      <c r="H6" s="73" t="n">
        <v>0.38</v>
      </c>
      <c r="I6" s="39" t="s">
        <v>240</v>
      </c>
      <c r="J6" s="40" t="s">
        <v>350</v>
      </c>
      <c r="K6" s="40" t="s">
        <v>453</v>
      </c>
      <c r="L6" s="72" t="n">
        <v>0.4</v>
      </c>
      <c r="M6" s="72" t="n">
        <v>0.2</v>
      </c>
      <c r="N6" s="39" t="s">
        <v>479</v>
      </c>
    </row>
    <row r="7" customFormat="false" ht="25.5" hidden="false" customHeight="true" outlineLevel="0" collapsed="false">
      <c r="A7" s="33" t="s">
        <v>117</v>
      </c>
      <c r="B7" s="3" t="s">
        <v>118</v>
      </c>
      <c r="C7" s="10" t="s">
        <v>36</v>
      </c>
      <c r="D7" s="69" t="s">
        <v>538</v>
      </c>
      <c r="E7" s="10" t="s">
        <v>534</v>
      </c>
      <c r="F7" s="71" t="n">
        <v>1750</v>
      </c>
      <c r="G7" s="71" t="n">
        <v>1620</v>
      </c>
      <c r="H7" s="71" t="n">
        <v>1480</v>
      </c>
      <c r="I7" s="10" t="s">
        <v>539</v>
      </c>
      <c r="J7" s="10" t="s">
        <v>350</v>
      </c>
      <c r="K7" s="10" t="s">
        <v>453</v>
      </c>
      <c r="L7" s="72" t="n">
        <v>0.9</v>
      </c>
      <c r="M7" s="72" t="n">
        <v>0.35</v>
      </c>
      <c r="N7" s="34" t="s">
        <v>469</v>
      </c>
    </row>
    <row r="8" customFormat="false" ht="25.5" hidden="false" customHeight="true" outlineLevel="0" collapsed="false">
      <c r="A8" s="36" t="s">
        <v>130</v>
      </c>
      <c r="B8" s="37" t="s">
        <v>54</v>
      </c>
      <c r="C8" s="40" t="s">
        <v>36</v>
      </c>
      <c r="D8" s="67" t="s">
        <v>540</v>
      </c>
      <c r="E8" s="40" t="s">
        <v>534</v>
      </c>
      <c r="F8" s="74" t="n">
        <v>3.2</v>
      </c>
      <c r="G8" s="74" t="n">
        <v>3.1</v>
      </c>
      <c r="H8" s="74" t="n">
        <v>2.9</v>
      </c>
      <c r="I8" s="40" t="s">
        <v>541</v>
      </c>
      <c r="J8" s="40" t="s">
        <v>365</v>
      </c>
      <c r="K8" s="40" t="s">
        <v>453</v>
      </c>
      <c r="L8" s="72" t="n">
        <v>0.6</v>
      </c>
      <c r="M8" s="72" t="n">
        <v>0.8</v>
      </c>
      <c r="N8" s="39" t="s">
        <v>474</v>
      </c>
    </row>
    <row r="9" customFormat="false" ht="25.5" hidden="false" customHeight="true" outlineLevel="0" collapsed="false">
      <c r="A9" s="33" t="s">
        <v>114</v>
      </c>
      <c r="B9" s="3" t="s">
        <v>14</v>
      </c>
      <c r="C9" s="10" t="s">
        <v>36</v>
      </c>
      <c r="D9" s="69" t="s">
        <v>542</v>
      </c>
      <c r="E9" s="10" t="s">
        <v>534</v>
      </c>
      <c r="F9" s="71" t="n">
        <v>62000</v>
      </c>
      <c r="G9" s="71" t="n">
        <v>58000</v>
      </c>
      <c r="H9" s="71" t="n">
        <v>52000</v>
      </c>
      <c r="I9" s="34" t="s">
        <v>535</v>
      </c>
      <c r="J9" s="10" t="s">
        <v>350</v>
      </c>
      <c r="K9" s="10" t="s">
        <v>453</v>
      </c>
      <c r="L9" s="72" t="n">
        <v>1</v>
      </c>
      <c r="M9" s="72" t="n">
        <v>0.45</v>
      </c>
      <c r="N9" s="34" t="s">
        <v>469</v>
      </c>
    </row>
    <row r="10" customFormat="false" ht="25.5" hidden="false" customHeight="true" outlineLevel="0" collapsed="false">
      <c r="A10" s="36" t="s">
        <v>123</v>
      </c>
      <c r="B10" s="37" t="s">
        <v>13</v>
      </c>
      <c r="C10" s="40" t="s">
        <v>36</v>
      </c>
      <c r="D10" s="67" t="s">
        <v>543</v>
      </c>
      <c r="E10" s="40" t="s">
        <v>534</v>
      </c>
      <c r="F10" s="73" t="n">
        <v>1</v>
      </c>
      <c r="G10" s="73" t="n">
        <v>0.98</v>
      </c>
      <c r="H10" s="73" t="n">
        <v>0.93</v>
      </c>
      <c r="I10" s="39" t="s">
        <v>240</v>
      </c>
      <c r="J10" s="40" t="s">
        <v>350</v>
      </c>
      <c r="K10" s="40" t="s">
        <v>453</v>
      </c>
      <c r="L10" s="72" t="n">
        <v>0.95</v>
      </c>
      <c r="M10" s="72" t="n">
        <v>0.5</v>
      </c>
      <c r="N10" s="39" t="s">
        <v>469</v>
      </c>
    </row>
    <row r="11" customFormat="false" ht="25.5" hidden="false" customHeight="true" outlineLevel="0" collapsed="false">
      <c r="A11" s="33" t="s">
        <v>110</v>
      </c>
      <c r="B11" s="3" t="s">
        <v>60</v>
      </c>
      <c r="C11" s="10" t="s">
        <v>36</v>
      </c>
      <c r="D11" s="19" t="s">
        <v>544</v>
      </c>
      <c r="E11" s="10" t="s">
        <v>534</v>
      </c>
      <c r="F11" s="73" t="n">
        <v>0.3</v>
      </c>
      <c r="G11" s="73" t="n">
        <v>0.28</v>
      </c>
      <c r="H11" s="73" t="n">
        <v>0.22</v>
      </c>
      <c r="I11" s="34" t="s">
        <v>240</v>
      </c>
      <c r="J11" s="10" t="s">
        <v>459</v>
      </c>
      <c r="K11" s="10" t="s">
        <v>453</v>
      </c>
      <c r="L11" s="72" t="n">
        <v>0.55</v>
      </c>
      <c r="M11" s="72" t="n">
        <v>0.9</v>
      </c>
      <c r="N11" s="34" t="s">
        <v>474</v>
      </c>
    </row>
    <row r="12" customFormat="false" ht="25.5" hidden="false" customHeight="true" outlineLevel="0" collapsed="false">
      <c r="A12" s="36" t="s">
        <v>119</v>
      </c>
      <c r="B12" s="37" t="s">
        <v>74</v>
      </c>
      <c r="C12" s="40" t="s">
        <v>37</v>
      </c>
      <c r="D12" s="67" t="s">
        <v>545</v>
      </c>
      <c r="E12" s="40" t="s">
        <v>546</v>
      </c>
      <c r="F12" s="71" t="n">
        <v>360</v>
      </c>
      <c r="G12" s="71" t="n">
        <v>400</v>
      </c>
      <c r="H12" s="71" t="n">
        <v>480</v>
      </c>
      <c r="I12" s="40" t="s">
        <v>241</v>
      </c>
      <c r="J12" s="40" t="s">
        <v>459</v>
      </c>
      <c r="K12" s="40" t="s">
        <v>453</v>
      </c>
      <c r="L12" s="72" t="n">
        <v>0.6</v>
      </c>
      <c r="M12" s="72" t="n">
        <v>0.7</v>
      </c>
      <c r="N12" s="39" t="s">
        <v>479</v>
      </c>
    </row>
    <row r="13" customFormat="false" ht="25.5" hidden="false" customHeight="true" outlineLevel="0" collapsed="false">
      <c r="A13" s="33" t="s">
        <v>131</v>
      </c>
      <c r="B13" s="3" t="s">
        <v>22</v>
      </c>
      <c r="C13" s="10" t="s">
        <v>37</v>
      </c>
      <c r="D13" s="69" t="s">
        <v>547</v>
      </c>
      <c r="E13" s="10" t="s">
        <v>546</v>
      </c>
      <c r="F13" s="71" t="n">
        <v>180</v>
      </c>
      <c r="G13" s="71" t="n">
        <v>190</v>
      </c>
      <c r="H13" s="71" t="n">
        <v>215</v>
      </c>
      <c r="I13" s="10" t="s">
        <v>241</v>
      </c>
      <c r="J13" s="10" t="s">
        <v>365</v>
      </c>
      <c r="K13" s="10" t="s">
        <v>453</v>
      </c>
      <c r="L13" s="72" t="n">
        <v>0.9</v>
      </c>
      <c r="M13" s="72" t="n">
        <v>0.85</v>
      </c>
      <c r="N13" s="34" t="s">
        <v>484</v>
      </c>
    </row>
    <row r="14" customFormat="false" ht="25.5" hidden="false" customHeight="true" outlineLevel="0" collapsed="false">
      <c r="A14" s="36" t="s">
        <v>132</v>
      </c>
      <c r="B14" s="37" t="s">
        <v>133</v>
      </c>
      <c r="C14" s="40" t="s">
        <v>37</v>
      </c>
      <c r="D14" s="67" t="s">
        <v>548</v>
      </c>
      <c r="E14" s="40" t="s">
        <v>546</v>
      </c>
      <c r="F14" s="71" t="n">
        <v>55</v>
      </c>
      <c r="G14" s="71" t="n">
        <v>60</v>
      </c>
      <c r="H14" s="71" t="n">
        <v>75</v>
      </c>
      <c r="I14" s="40" t="s">
        <v>241</v>
      </c>
      <c r="J14" s="40" t="s">
        <v>365</v>
      </c>
      <c r="K14" s="40" t="s">
        <v>453</v>
      </c>
      <c r="L14" s="72" t="n">
        <v>0.7</v>
      </c>
      <c r="M14" s="72" t="n">
        <v>0.9</v>
      </c>
      <c r="N14" s="39" t="s">
        <v>484</v>
      </c>
    </row>
    <row r="15" customFormat="false" ht="25.5" hidden="false" customHeight="true" outlineLevel="0" collapsed="false">
      <c r="A15" s="33" t="s">
        <v>134</v>
      </c>
      <c r="B15" s="3" t="s">
        <v>135</v>
      </c>
      <c r="C15" s="10" t="s">
        <v>37</v>
      </c>
      <c r="D15" s="69" t="s">
        <v>549</v>
      </c>
      <c r="E15" s="10" t="s">
        <v>546</v>
      </c>
      <c r="F15" s="71" t="n">
        <v>150</v>
      </c>
      <c r="G15" s="71" t="n">
        <v>165</v>
      </c>
      <c r="H15" s="71" t="n">
        <v>195</v>
      </c>
      <c r="I15" s="10" t="s">
        <v>241</v>
      </c>
      <c r="J15" s="10" t="s">
        <v>365</v>
      </c>
      <c r="K15" s="10" t="s">
        <v>453</v>
      </c>
      <c r="L15" s="72" t="n">
        <v>0.7</v>
      </c>
      <c r="M15" s="72" t="n">
        <v>0.85</v>
      </c>
      <c r="N15" s="34" t="s">
        <v>484</v>
      </c>
    </row>
    <row r="16" customFormat="false" ht="25.5" hidden="false" customHeight="true" outlineLevel="0" collapsed="false">
      <c r="A16" s="36" t="s">
        <v>136</v>
      </c>
      <c r="B16" s="37" t="s">
        <v>72</v>
      </c>
      <c r="C16" s="40" t="s">
        <v>37</v>
      </c>
      <c r="D16" s="67" t="s">
        <v>550</v>
      </c>
      <c r="E16" s="40" t="s">
        <v>546</v>
      </c>
      <c r="F16" s="71" t="n">
        <v>90</v>
      </c>
      <c r="G16" s="71" t="n">
        <v>100</v>
      </c>
      <c r="H16" s="71" t="n">
        <v>125</v>
      </c>
      <c r="I16" s="40" t="s">
        <v>241</v>
      </c>
      <c r="J16" s="40" t="s">
        <v>459</v>
      </c>
      <c r="K16" s="40" t="s">
        <v>453</v>
      </c>
      <c r="L16" s="72" t="n">
        <v>0.75</v>
      </c>
      <c r="M16" s="72" t="n">
        <v>0.85</v>
      </c>
      <c r="N16" s="39" t="s">
        <v>484</v>
      </c>
    </row>
    <row r="17" customFormat="false" ht="25.5" hidden="false" customHeight="true" outlineLevel="0" collapsed="false">
      <c r="A17" s="33" t="s">
        <v>137</v>
      </c>
      <c r="B17" s="3" t="s">
        <v>23</v>
      </c>
      <c r="C17" s="10" t="s">
        <v>37</v>
      </c>
      <c r="D17" s="69" t="s">
        <v>551</v>
      </c>
      <c r="E17" s="10" t="s">
        <v>534</v>
      </c>
      <c r="F17" s="73" t="n">
        <v>0.996</v>
      </c>
      <c r="G17" s="73" t="n">
        <v>0.994</v>
      </c>
      <c r="H17" s="73" t="n">
        <v>0.99</v>
      </c>
      <c r="I17" s="34" t="s">
        <v>240</v>
      </c>
      <c r="J17" s="10" t="s">
        <v>365</v>
      </c>
      <c r="K17" s="10" t="s">
        <v>453</v>
      </c>
      <c r="L17" s="72" t="n">
        <v>0.8</v>
      </c>
      <c r="M17" s="72" t="n">
        <v>0.85</v>
      </c>
      <c r="N17" s="34" t="s">
        <v>489</v>
      </c>
    </row>
    <row r="18" customFormat="false" ht="25.5" hidden="false" customHeight="true" outlineLevel="0" collapsed="false">
      <c r="A18" s="36" t="s">
        <v>103</v>
      </c>
      <c r="B18" s="37" t="s">
        <v>21</v>
      </c>
      <c r="C18" s="40" t="s">
        <v>37</v>
      </c>
      <c r="D18" s="41" t="s">
        <v>552</v>
      </c>
      <c r="E18" s="40" t="s">
        <v>534</v>
      </c>
      <c r="F18" s="73" t="n">
        <v>0.9</v>
      </c>
      <c r="G18" s="73" t="n">
        <v>0.88</v>
      </c>
      <c r="H18" s="73" t="n">
        <v>0.8</v>
      </c>
      <c r="I18" s="39" t="s">
        <v>240</v>
      </c>
      <c r="J18" s="40" t="s">
        <v>365</v>
      </c>
      <c r="K18" s="40" t="s">
        <v>453</v>
      </c>
      <c r="L18" s="72" t="n">
        <v>0.85</v>
      </c>
      <c r="M18" s="72" t="n">
        <v>0.85</v>
      </c>
      <c r="N18" s="39" t="s">
        <v>484</v>
      </c>
    </row>
    <row r="19" customFormat="false" ht="25.5" hidden="false" customHeight="true" outlineLevel="0" collapsed="false">
      <c r="A19" s="33" t="s">
        <v>139</v>
      </c>
      <c r="B19" s="3" t="s">
        <v>92</v>
      </c>
      <c r="C19" s="10" t="s">
        <v>38</v>
      </c>
      <c r="D19" s="69" t="s">
        <v>553</v>
      </c>
      <c r="E19" s="10" t="s">
        <v>546</v>
      </c>
      <c r="F19" s="71" t="n">
        <v>0</v>
      </c>
      <c r="G19" s="71" t="n">
        <v>20</v>
      </c>
      <c r="H19" s="71" t="n">
        <v>60</v>
      </c>
      <c r="I19" s="34" t="s">
        <v>535</v>
      </c>
      <c r="J19" s="10" t="s">
        <v>365</v>
      </c>
      <c r="K19" s="10" t="s">
        <v>453</v>
      </c>
      <c r="L19" s="72" t="n">
        <v>0.35</v>
      </c>
      <c r="M19" s="72" t="n">
        <v>0.9</v>
      </c>
      <c r="N19" s="34" t="s">
        <v>504</v>
      </c>
    </row>
    <row r="20" customFormat="false" ht="25.5" hidden="false" customHeight="true" outlineLevel="0" collapsed="false">
      <c r="A20" s="36" t="s">
        <v>120</v>
      </c>
      <c r="B20" s="37" t="s">
        <v>17</v>
      </c>
      <c r="C20" s="40" t="s">
        <v>38</v>
      </c>
      <c r="D20" s="67" t="s">
        <v>554</v>
      </c>
      <c r="E20" s="40" t="s">
        <v>546</v>
      </c>
      <c r="F20" s="73" t="n">
        <v>0.305</v>
      </c>
      <c r="G20" s="73" t="n">
        <v>0.31</v>
      </c>
      <c r="H20" s="73" t="n">
        <v>0.325</v>
      </c>
      <c r="I20" s="39" t="s">
        <v>240</v>
      </c>
      <c r="J20" s="40" t="s">
        <v>350</v>
      </c>
      <c r="K20" s="40" t="s">
        <v>453</v>
      </c>
      <c r="L20" s="72" t="n">
        <v>0.95</v>
      </c>
      <c r="M20" s="72" t="n">
        <v>0.6</v>
      </c>
      <c r="N20" s="39" t="s">
        <v>494</v>
      </c>
    </row>
    <row r="21" customFormat="false" ht="25.5" hidden="false" customHeight="true" outlineLevel="0" collapsed="false">
      <c r="A21" s="33" t="s">
        <v>141</v>
      </c>
      <c r="B21" s="3" t="s">
        <v>19</v>
      </c>
      <c r="C21" s="10" t="s">
        <v>38</v>
      </c>
      <c r="D21" s="19" t="s">
        <v>555</v>
      </c>
      <c r="E21" s="10" t="s">
        <v>546</v>
      </c>
      <c r="F21" s="73" t="n">
        <v>0.135</v>
      </c>
      <c r="G21" s="73" t="n">
        <v>0.14</v>
      </c>
      <c r="H21" s="73" t="n">
        <v>0.155</v>
      </c>
      <c r="I21" s="34" t="s">
        <v>240</v>
      </c>
      <c r="J21" s="10" t="s">
        <v>350</v>
      </c>
      <c r="K21" s="10" t="s">
        <v>453</v>
      </c>
      <c r="L21" s="72" t="n">
        <v>0.9</v>
      </c>
      <c r="M21" s="72" t="n">
        <v>0.8</v>
      </c>
      <c r="N21" s="34" t="s">
        <v>499</v>
      </c>
    </row>
    <row r="22" customFormat="false" ht="25.5" hidden="false" customHeight="true" outlineLevel="0" collapsed="false">
      <c r="A22" s="36" t="s">
        <v>109</v>
      </c>
      <c r="B22" s="37" t="s">
        <v>70</v>
      </c>
      <c r="C22" s="40" t="s">
        <v>38</v>
      </c>
      <c r="D22" s="67" t="s">
        <v>556</v>
      </c>
      <c r="E22" s="40" t="s">
        <v>546</v>
      </c>
      <c r="F22" s="73" t="n">
        <v>0.02</v>
      </c>
      <c r="G22" s="73" t="n">
        <v>0.03</v>
      </c>
      <c r="H22" s="73" t="n">
        <v>0.06</v>
      </c>
      <c r="I22" s="39" t="s">
        <v>240</v>
      </c>
      <c r="J22" s="40" t="s">
        <v>365</v>
      </c>
      <c r="K22" s="40" t="s">
        <v>453</v>
      </c>
      <c r="L22" s="72" t="n">
        <v>0.6</v>
      </c>
      <c r="M22" s="72" t="n">
        <v>0.95</v>
      </c>
      <c r="N22" s="39" t="s">
        <v>499</v>
      </c>
    </row>
    <row r="23" customFormat="false" ht="25.5" hidden="false" customHeight="true" outlineLevel="0" collapsed="false">
      <c r="A23" s="33" t="s">
        <v>142</v>
      </c>
      <c r="B23" s="3" t="s">
        <v>143</v>
      </c>
      <c r="C23" s="10" t="s">
        <v>38</v>
      </c>
      <c r="D23" s="19" t="s">
        <v>557</v>
      </c>
      <c r="E23" s="10" t="s">
        <v>534</v>
      </c>
      <c r="F23" s="71" t="n">
        <v>210</v>
      </c>
      <c r="G23" s="71" t="n">
        <v>205</v>
      </c>
      <c r="H23" s="71" t="n">
        <v>185</v>
      </c>
      <c r="I23" s="34" t="s">
        <v>242</v>
      </c>
      <c r="J23" s="10" t="s">
        <v>365</v>
      </c>
      <c r="K23" s="10" t="s">
        <v>453</v>
      </c>
      <c r="L23" s="72" t="n">
        <v>0.85</v>
      </c>
      <c r="M23" s="72" t="n">
        <v>0.85</v>
      </c>
      <c r="N23" s="34" t="s">
        <v>499</v>
      </c>
    </row>
    <row r="24" customFormat="false" ht="25.5" hidden="false" customHeight="true" outlineLevel="0" collapsed="false">
      <c r="A24" s="36" t="s">
        <v>116</v>
      </c>
      <c r="B24" s="37" t="s">
        <v>18</v>
      </c>
      <c r="C24" s="40" t="s">
        <v>38</v>
      </c>
      <c r="D24" s="67" t="s">
        <v>558</v>
      </c>
      <c r="E24" s="40" t="s">
        <v>546</v>
      </c>
      <c r="F24" s="73" t="n">
        <v>0.008</v>
      </c>
      <c r="G24" s="73" t="n">
        <v>0.01</v>
      </c>
      <c r="H24" s="73" t="n">
        <v>0.015</v>
      </c>
      <c r="I24" s="39" t="s">
        <v>240</v>
      </c>
      <c r="J24" s="40" t="s">
        <v>365</v>
      </c>
      <c r="K24" s="40" t="s">
        <v>453</v>
      </c>
      <c r="L24" s="72" t="n">
        <v>0.8</v>
      </c>
      <c r="M24" s="72" t="n">
        <v>0.9</v>
      </c>
      <c r="N24" s="39" t="s">
        <v>494</v>
      </c>
    </row>
    <row r="25" customFormat="false" ht="25.5" hidden="false" customHeight="true" outlineLevel="0" collapsed="false">
      <c r="A25" s="33" t="s">
        <v>124</v>
      </c>
      <c r="B25" s="3" t="s">
        <v>82</v>
      </c>
      <c r="C25" s="10" t="s">
        <v>39</v>
      </c>
      <c r="D25" s="19" t="s">
        <v>559</v>
      </c>
      <c r="E25" s="10" t="s">
        <v>534</v>
      </c>
      <c r="F25" s="75" t="n">
        <v>95</v>
      </c>
      <c r="G25" s="75" t="n">
        <v>92</v>
      </c>
      <c r="H25" s="75" t="n">
        <v>85</v>
      </c>
      <c r="I25" s="10" t="s">
        <v>560</v>
      </c>
      <c r="J25" s="10" t="s">
        <v>365</v>
      </c>
      <c r="K25" s="10" t="s">
        <v>453</v>
      </c>
      <c r="L25" s="72" t="n">
        <v>0.65</v>
      </c>
      <c r="M25" s="72" t="n">
        <v>0.95</v>
      </c>
      <c r="N25" s="34" t="s">
        <v>513</v>
      </c>
    </row>
    <row r="26" customFormat="false" ht="25.5" hidden="false" customHeight="true" outlineLevel="0" collapsed="false">
      <c r="A26" s="36" t="s">
        <v>144</v>
      </c>
      <c r="B26" s="37" t="s">
        <v>25</v>
      </c>
      <c r="C26" s="40" t="s">
        <v>39</v>
      </c>
      <c r="D26" s="67" t="s">
        <v>561</v>
      </c>
      <c r="E26" s="40" t="s">
        <v>546</v>
      </c>
      <c r="F26" s="71" t="n">
        <v>0</v>
      </c>
      <c r="G26" s="71" t="n">
        <v>0</v>
      </c>
      <c r="H26" s="71" t="n">
        <v>1</v>
      </c>
      <c r="I26" s="40" t="s">
        <v>562</v>
      </c>
      <c r="J26" s="40" t="s">
        <v>365</v>
      </c>
      <c r="K26" s="40" t="s">
        <v>453</v>
      </c>
      <c r="L26" s="72" t="n">
        <v>1</v>
      </c>
      <c r="M26" s="72" t="n">
        <v>0.9</v>
      </c>
      <c r="N26" s="39" t="s">
        <v>508</v>
      </c>
    </row>
    <row r="27" customFormat="false" ht="25.5" hidden="false" customHeight="true" outlineLevel="0" collapsed="false">
      <c r="A27" s="33" t="s">
        <v>107</v>
      </c>
      <c r="B27" s="3" t="s">
        <v>26</v>
      </c>
      <c r="C27" s="10" t="s">
        <v>39</v>
      </c>
      <c r="D27" s="69" t="s">
        <v>563</v>
      </c>
      <c r="E27" s="10" t="s">
        <v>546</v>
      </c>
      <c r="F27" s="71" t="n">
        <v>0</v>
      </c>
      <c r="G27" s="71" t="n">
        <v>15</v>
      </c>
      <c r="H27" s="71" t="n">
        <v>60</v>
      </c>
      <c r="I27" s="10" t="s">
        <v>341</v>
      </c>
      <c r="J27" s="10" t="s">
        <v>350</v>
      </c>
      <c r="K27" s="10" t="s">
        <v>453</v>
      </c>
      <c r="L27" s="72" t="n">
        <v>0.7</v>
      </c>
      <c r="M27" s="72" t="n">
        <v>0.5</v>
      </c>
      <c r="N27" s="34" t="s">
        <v>518</v>
      </c>
    </row>
    <row r="28" customFormat="false" ht="25.5" hidden="false" customHeight="true" outlineLevel="0" collapsed="false">
      <c r="A28" s="36" t="s">
        <v>146</v>
      </c>
      <c r="B28" s="37" t="s">
        <v>24</v>
      </c>
      <c r="C28" s="40" t="s">
        <v>39</v>
      </c>
      <c r="D28" s="41" t="s">
        <v>564</v>
      </c>
      <c r="E28" s="40" t="s">
        <v>534</v>
      </c>
      <c r="F28" s="75" t="n">
        <v>100</v>
      </c>
      <c r="G28" s="75" t="n">
        <v>98</v>
      </c>
      <c r="H28" s="75" t="n">
        <v>95</v>
      </c>
      <c r="I28" s="40" t="s">
        <v>560</v>
      </c>
      <c r="J28" s="40" t="s">
        <v>350</v>
      </c>
      <c r="K28" s="40" t="s">
        <v>453</v>
      </c>
      <c r="L28" s="72" t="n">
        <v>1</v>
      </c>
      <c r="M28" s="72" t="n">
        <v>0.95</v>
      </c>
      <c r="N28" s="39" t="s">
        <v>508</v>
      </c>
    </row>
    <row r="29" customFormat="false" ht="25.5" hidden="false" customHeight="true" outlineLevel="0" collapsed="false">
      <c r="A29" s="33" t="s">
        <v>112</v>
      </c>
      <c r="B29" s="3" t="s">
        <v>81</v>
      </c>
      <c r="C29" s="10" t="s">
        <v>39</v>
      </c>
      <c r="D29" s="19" t="s">
        <v>565</v>
      </c>
      <c r="E29" s="10" t="s">
        <v>546</v>
      </c>
      <c r="F29" s="73" t="n">
        <v>0.01</v>
      </c>
      <c r="G29" s="73" t="n">
        <v>0.02</v>
      </c>
      <c r="H29" s="73" t="n">
        <v>0.04</v>
      </c>
      <c r="I29" s="34" t="s">
        <v>240</v>
      </c>
      <c r="J29" s="10" t="s">
        <v>459</v>
      </c>
      <c r="K29" s="10" t="s">
        <v>453</v>
      </c>
      <c r="L29" s="72" t="n">
        <v>0.7</v>
      </c>
      <c r="M29" s="72" t="n">
        <v>0.9</v>
      </c>
      <c r="N29" s="34" t="s">
        <v>494</v>
      </c>
    </row>
    <row r="30" customFormat="false" ht="25.5" hidden="false" customHeight="true" outlineLevel="0" collapsed="false">
      <c r="A30" s="36" t="s">
        <v>147</v>
      </c>
      <c r="B30" s="37" t="s">
        <v>27</v>
      </c>
      <c r="C30" s="40" t="s">
        <v>40</v>
      </c>
      <c r="D30" s="41" t="s">
        <v>566</v>
      </c>
      <c r="E30" s="40" t="s">
        <v>534</v>
      </c>
      <c r="F30" s="73" t="n">
        <v>1</v>
      </c>
      <c r="G30" s="73" t="n">
        <v>0.97</v>
      </c>
      <c r="H30" s="73" t="n">
        <v>0.92</v>
      </c>
      <c r="I30" s="39" t="s">
        <v>240</v>
      </c>
      <c r="J30" s="40" t="s">
        <v>365</v>
      </c>
      <c r="K30" s="40" t="s">
        <v>453</v>
      </c>
      <c r="L30" s="72" t="n">
        <v>0.75</v>
      </c>
      <c r="M30" s="72" t="n">
        <v>0.7</v>
      </c>
      <c r="N30" s="39" t="s">
        <v>499</v>
      </c>
    </row>
    <row r="31" customFormat="false" ht="25.5" hidden="false" customHeight="true" outlineLevel="0" collapsed="false">
      <c r="A31" s="33" t="s">
        <v>148</v>
      </c>
      <c r="B31" s="45" t="s">
        <v>149</v>
      </c>
      <c r="C31" s="10" t="s">
        <v>40</v>
      </c>
      <c r="D31" s="19" t="s">
        <v>567</v>
      </c>
      <c r="E31" s="10" t="s">
        <v>546</v>
      </c>
      <c r="F31" s="73" t="n">
        <v>0.05</v>
      </c>
      <c r="G31" s="73" t="n">
        <v>0.06</v>
      </c>
      <c r="H31" s="73" t="n">
        <v>0.1</v>
      </c>
      <c r="I31" s="34" t="s">
        <v>240</v>
      </c>
      <c r="J31" s="10" t="s">
        <v>350</v>
      </c>
      <c r="K31" s="10" t="s">
        <v>437</v>
      </c>
      <c r="L31" s="72" t="n">
        <v>0.8</v>
      </c>
      <c r="M31" s="72" t="n">
        <v>0.5</v>
      </c>
      <c r="N31" s="34" t="s">
        <v>523</v>
      </c>
    </row>
    <row r="32" customFormat="false" ht="25.5" hidden="false" customHeight="true" outlineLevel="0" collapsed="false">
      <c r="A32" s="36" t="s">
        <v>105</v>
      </c>
      <c r="B32" s="37" t="s">
        <v>28</v>
      </c>
      <c r="C32" s="40" t="s">
        <v>40</v>
      </c>
      <c r="D32" s="41" t="s">
        <v>568</v>
      </c>
      <c r="E32" s="40" t="s">
        <v>546</v>
      </c>
      <c r="F32" s="73" t="n">
        <v>0.02</v>
      </c>
      <c r="G32" s="73" t="n">
        <v>0.03</v>
      </c>
      <c r="H32" s="73" t="n">
        <v>0.08</v>
      </c>
      <c r="I32" s="39" t="s">
        <v>240</v>
      </c>
      <c r="J32" s="40" t="s">
        <v>459</v>
      </c>
      <c r="K32" s="40" t="s">
        <v>453</v>
      </c>
      <c r="L32" s="72" t="n">
        <v>0.4</v>
      </c>
      <c r="M32" s="72" t="n">
        <v>0.85</v>
      </c>
      <c r="N32" s="39" t="s">
        <v>499</v>
      </c>
    </row>
    <row r="33" customFormat="false" ht="25.5" hidden="false" customHeight="true" outlineLevel="0" collapsed="false">
      <c r="A33" s="33" t="s">
        <v>121</v>
      </c>
      <c r="B33" s="3" t="s">
        <v>88</v>
      </c>
      <c r="C33" s="10" t="s">
        <v>40</v>
      </c>
      <c r="D33" s="19" t="s">
        <v>569</v>
      </c>
      <c r="E33" s="10" t="s">
        <v>534</v>
      </c>
      <c r="F33" s="73" t="n">
        <v>0.95</v>
      </c>
      <c r="G33" s="73" t="n">
        <v>0.9</v>
      </c>
      <c r="H33" s="73" t="n">
        <v>0.8</v>
      </c>
      <c r="I33" s="34" t="s">
        <v>240</v>
      </c>
      <c r="J33" s="10" t="s">
        <v>461</v>
      </c>
      <c r="K33" s="10" t="s">
        <v>437</v>
      </c>
      <c r="L33" s="72" t="n">
        <v>0.7</v>
      </c>
      <c r="M33" s="72" t="n">
        <v>0.6</v>
      </c>
      <c r="N33" s="34" t="s">
        <v>523</v>
      </c>
    </row>
    <row r="34" customFormat="false" ht="25.5" hidden="false" customHeight="true" outlineLevel="0" collapsed="false">
      <c r="A34" s="36" t="s">
        <v>150</v>
      </c>
      <c r="B34" s="37" t="s">
        <v>77</v>
      </c>
      <c r="C34" s="40" t="s">
        <v>41</v>
      </c>
      <c r="D34" s="41" t="s">
        <v>570</v>
      </c>
      <c r="E34" s="40" t="s">
        <v>546</v>
      </c>
      <c r="F34" s="74" t="n">
        <v>0.8</v>
      </c>
      <c r="G34" s="74" t="n">
        <v>1.2</v>
      </c>
      <c r="H34" s="74" t="n">
        <v>2.5</v>
      </c>
      <c r="I34" s="40" t="s">
        <v>571</v>
      </c>
      <c r="J34" s="40" t="s">
        <v>365</v>
      </c>
      <c r="K34" s="40" t="s">
        <v>453</v>
      </c>
      <c r="L34" s="72" t="n">
        <v>0.75</v>
      </c>
      <c r="M34" s="72" t="n">
        <v>0.7</v>
      </c>
      <c r="N34" s="39" t="s">
        <v>489</v>
      </c>
    </row>
    <row r="35" customFormat="false" ht="25.5" hidden="false" customHeight="true" outlineLevel="0" collapsed="false">
      <c r="A35" s="33" t="s">
        <v>151</v>
      </c>
      <c r="B35" s="3" t="s">
        <v>29</v>
      </c>
      <c r="C35" s="10" t="s">
        <v>41</v>
      </c>
      <c r="D35" s="19" t="s">
        <v>572</v>
      </c>
      <c r="E35" s="10" t="s">
        <v>534</v>
      </c>
      <c r="F35" s="75" t="n">
        <v>88</v>
      </c>
      <c r="G35" s="75" t="n">
        <v>85</v>
      </c>
      <c r="H35" s="75" t="n">
        <v>78</v>
      </c>
      <c r="I35" s="10" t="s">
        <v>560</v>
      </c>
      <c r="J35" s="10" t="s">
        <v>350</v>
      </c>
      <c r="K35" s="10" t="s">
        <v>453</v>
      </c>
      <c r="L35" s="72" t="n">
        <v>0.9</v>
      </c>
      <c r="M35" s="72" t="n">
        <v>0.6</v>
      </c>
      <c r="N35" s="34" t="s">
        <v>489</v>
      </c>
    </row>
    <row r="36" customFormat="false" ht="25.5" hidden="false" customHeight="true" outlineLevel="0" collapsed="false">
      <c r="A36" s="36" t="s">
        <v>101</v>
      </c>
      <c r="B36" s="37" t="s">
        <v>30</v>
      </c>
      <c r="C36" s="40" t="s">
        <v>41</v>
      </c>
      <c r="D36" s="41" t="s">
        <v>573</v>
      </c>
      <c r="E36" s="40" t="s">
        <v>534</v>
      </c>
      <c r="F36" s="75" t="n">
        <v>4.8</v>
      </c>
      <c r="G36" s="75" t="n">
        <v>4.7</v>
      </c>
      <c r="H36" s="75" t="n">
        <v>4.5</v>
      </c>
      <c r="I36" s="40" t="s">
        <v>560</v>
      </c>
      <c r="J36" s="40" t="s">
        <v>350</v>
      </c>
      <c r="K36" s="40" t="s">
        <v>453</v>
      </c>
      <c r="L36" s="72" t="n">
        <v>0.7</v>
      </c>
      <c r="M36" s="72" t="n">
        <v>0.55</v>
      </c>
      <c r="N36" s="39" t="s">
        <v>479</v>
      </c>
    </row>
    <row r="38" customFormat="false" ht="25.5" hidden="false" customHeight="true" outlineLevel="0" collapsed="false">
      <c r="A38" s="21" t="s">
        <v>574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</row>
    <row r="39" customFormat="false" ht="25.5" hidden="false" customHeight="true" outlineLevel="0" collapsed="false">
      <c r="A39" s="21" t="s">
        <v>575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</row>
  </sheetData>
  <mergeCells count="4">
    <mergeCell ref="A1:N1"/>
    <mergeCell ref="A2:N2"/>
    <mergeCell ref="A38:N38"/>
    <mergeCell ref="A39:N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AA3AE"/>
    <pageSetUpPr fitToPage="false"/>
  </sheetPr>
  <dimension ref="A1:I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5" min="5" style="0" width="20"/>
    <col collapsed="false" customWidth="true" hidden="false" outlineLevel="0" max="6" min="6" style="0" width="26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46"/>
  </cols>
  <sheetData>
    <row r="1" customFormat="false" ht="30" hidden="false" customHeight="true" outlineLevel="0" collapsed="false">
      <c r="A1" s="1" t="s">
        <v>576</v>
      </c>
      <c r="B1" s="1"/>
      <c r="C1" s="1"/>
      <c r="D1" s="1"/>
      <c r="E1" s="1"/>
      <c r="F1" s="1"/>
      <c r="G1" s="1"/>
      <c r="H1" s="1"/>
      <c r="I1" s="1"/>
    </row>
    <row r="2" customFormat="false" ht="27.75" hidden="false" customHeight="true" outlineLevel="0" collapsed="false">
      <c r="A2" s="2" t="s">
        <v>577</v>
      </c>
      <c r="B2" s="2"/>
      <c r="C2" s="2"/>
      <c r="D2" s="2"/>
      <c r="E2" s="2"/>
      <c r="F2" s="2"/>
      <c r="G2" s="2"/>
      <c r="H2" s="2"/>
      <c r="I2" s="2"/>
    </row>
    <row r="4" customFormat="false" ht="30" hidden="false" customHeight="true" outlineLevel="0" collapsed="false">
      <c r="A4" s="6" t="s">
        <v>578</v>
      </c>
      <c r="B4" s="6" t="s">
        <v>579</v>
      </c>
      <c r="C4" s="6" t="s">
        <v>580</v>
      </c>
      <c r="D4" s="6" t="s">
        <v>581</v>
      </c>
      <c r="E4" s="6" t="s">
        <v>582</v>
      </c>
      <c r="F4" s="6" t="s">
        <v>583</v>
      </c>
      <c r="G4" s="6" t="s">
        <v>584</v>
      </c>
      <c r="H4" s="6" t="s">
        <v>585</v>
      </c>
      <c r="I4" s="6" t="s">
        <v>586</v>
      </c>
    </row>
    <row r="5" customFormat="false" ht="30" hidden="false" customHeight="true" outlineLevel="0" collapsed="false">
      <c r="A5" s="45" t="s">
        <v>587</v>
      </c>
      <c r="B5" s="33" t="s">
        <v>588</v>
      </c>
      <c r="C5" s="10" t="s">
        <v>589</v>
      </c>
      <c r="D5" s="34" t="s">
        <v>590</v>
      </c>
      <c r="E5" s="69" t="s">
        <v>591</v>
      </c>
      <c r="F5" s="69" t="s">
        <v>592</v>
      </c>
      <c r="G5" s="19" t="s">
        <v>593</v>
      </c>
      <c r="H5" s="34" t="s">
        <v>594</v>
      </c>
      <c r="I5" s="19" t="s">
        <v>595</v>
      </c>
    </row>
    <row r="6" customFormat="false" ht="30" hidden="false" customHeight="true" outlineLevel="0" collapsed="false">
      <c r="A6" s="43" t="s">
        <v>596</v>
      </c>
      <c r="B6" s="36" t="s">
        <v>597</v>
      </c>
      <c r="C6" s="40" t="s">
        <v>589</v>
      </c>
      <c r="D6" s="39" t="s">
        <v>590</v>
      </c>
      <c r="E6" s="67" t="s">
        <v>591</v>
      </c>
      <c r="F6" s="67" t="s">
        <v>598</v>
      </c>
      <c r="G6" s="41" t="s">
        <v>599</v>
      </c>
      <c r="H6" s="39" t="s">
        <v>600</v>
      </c>
      <c r="I6" s="41" t="s">
        <v>601</v>
      </c>
    </row>
    <row r="7" customFormat="false" ht="30" hidden="false" customHeight="true" outlineLevel="0" collapsed="false">
      <c r="A7" s="45" t="s">
        <v>602</v>
      </c>
      <c r="B7" s="17" t="s">
        <v>603</v>
      </c>
      <c r="C7" s="10" t="s">
        <v>589</v>
      </c>
      <c r="D7" s="34" t="s">
        <v>590</v>
      </c>
      <c r="E7" s="69" t="s">
        <v>604</v>
      </c>
      <c r="F7" s="69" t="s">
        <v>605</v>
      </c>
      <c r="G7" s="19" t="s">
        <v>599</v>
      </c>
      <c r="H7" s="34" t="s">
        <v>606</v>
      </c>
      <c r="I7" s="19" t="s">
        <v>607</v>
      </c>
    </row>
    <row r="8" customFormat="false" ht="30" hidden="false" customHeight="true" outlineLevel="0" collapsed="false">
      <c r="A8" s="43" t="s">
        <v>608</v>
      </c>
      <c r="B8" s="76" t="s">
        <v>609</v>
      </c>
      <c r="C8" s="40" t="s">
        <v>589</v>
      </c>
      <c r="D8" s="39" t="s">
        <v>610</v>
      </c>
      <c r="E8" s="41" t="s">
        <v>611</v>
      </c>
      <c r="F8" s="67" t="s">
        <v>612</v>
      </c>
      <c r="G8" s="41" t="s">
        <v>613</v>
      </c>
      <c r="H8" s="40" t="s">
        <v>614</v>
      </c>
      <c r="I8" s="41" t="s">
        <v>615</v>
      </c>
    </row>
    <row r="9" customFormat="false" ht="30" hidden="false" customHeight="true" outlineLevel="0" collapsed="false">
      <c r="A9" s="45" t="s">
        <v>616</v>
      </c>
      <c r="B9" s="17" t="s">
        <v>617</v>
      </c>
      <c r="C9" s="10" t="s">
        <v>589</v>
      </c>
      <c r="D9" s="34" t="s">
        <v>610</v>
      </c>
      <c r="E9" s="19" t="s">
        <v>618</v>
      </c>
      <c r="F9" s="69" t="s">
        <v>619</v>
      </c>
      <c r="G9" s="19" t="s">
        <v>620</v>
      </c>
      <c r="H9" s="34" t="s">
        <v>457</v>
      </c>
      <c r="I9" s="19" t="s">
        <v>621</v>
      </c>
    </row>
    <row r="10" customFormat="false" ht="30" hidden="false" customHeight="true" outlineLevel="0" collapsed="false">
      <c r="A10" s="43" t="s">
        <v>622</v>
      </c>
      <c r="B10" s="76" t="s">
        <v>623</v>
      </c>
      <c r="C10" s="40" t="s">
        <v>624</v>
      </c>
      <c r="D10" s="39" t="s">
        <v>590</v>
      </c>
      <c r="E10" s="41" t="s">
        <v>625</v>
      </c>
      <c r="F10" s="67" t="s">
        <v>626</v>
      </c>
      <c r="G10" s="41" t="s">
        <v>599</v>
      </c>
      <c r="H10" s="39" t="s">
        <v>627</v>
      </c>
      <c r="I10" s="41" t="s">
        <v>628</v>
      </c>
    </row>
    <row r="11" customFormat="false" ht="30" hidden="false" customHeight="true" outlineLevel="0" collapsed="false">
      <c r="A11" s="45" t="s">
        <v>629</v>
      </c>
      <c r="B11" s="17" t="s">
        <v>630</v>
      </c>
      <c r="C11" s="10" t="s">
        <v>624</v>
      </c>
      <c r="D11" s="34" t="s">
        <v>590</v>
      </c>
      <c r="E11" s="19" t="s">
        <v>631</v>
      </c>
      <c r="F11" s="69" t="s">
        <v>632</v>
      </c>
      <c r="G11" s="19" t="s">
        <v>633</v>
      </c>
      <c r="H11" s="34" t="s">
        <v>634</v>
      </c>
      <c r="I11" s="19" t="s">
        <v>635</v>
      </c>
    </row>
    <row r="12" customFormat="false" ht="30" hidden="false" customHeight="true" outlineLevel="0" collapsed="false">
      <c r="A12" s="43" t="s">
        <v>636</v>
      </c>
      <c r="B12" s="76" t="s">
        <v>637</v>
      </c>
      <c r="C12" s="40" t="s">
        <v>638</v>
      </c>
      <c r="D12" s="39" t="s">
        <v>590</v>
      </c>
      <c r="E12" s="67" t="s">
        <v>639</v>
      </c>
      <c r="F12" s="67" t="s">
        <v>640</v>
      </c>
      <c r="G12" s="41" t="s">
        <v>599</v>
      </c>
      <c r="H12" s="39" t="s">
        <v>641</v>
      </c>
      <c r="I12" s="41" t="s">
        <v>642</v>
      </c>
    </row>
    <row r="13" customFormat="false" ht="30" hidden="false" customHeight="true" outlineLevel="0" collapsed="false">
      <c r="A13" s="45" t="s">
        <v>643</v>
      </c>
      <c r="B13" s="17" t="s">
        <v>644</v>
      </c>
      <c r="C13" s="10" t="s">
        <v>638</v>
      </c>
      <c r="D13" s="34" t="s">
        <v>590</v>
      </c>
      <c r="E13" s="69" t="s">
        <v>645</v>
      </c>
      <c r="F13" s="69" t="s">
        <v>646</v>
      </c>
      <c r="G13" s="19" t="s">
        <v>599</v>
      </c>
      <c r="H13" s="34" t="s">
        <v>647</v>
      </c>
      <c r="I13" s="19" t="s">
        <v>648</v>
      </c>
    </row>
    <row r="14" customFormat="false" ht="30" hidden="false" customHeight="true" outlineLevel="0" collapsed="false">
      <c r="A14" s="43" t="s">
        <v>649</v>
      </c>
      <c r="B14" s="76" t="s">
        <v>650</v>
      </c>
      <c r="C14" s="40" t="s">
        <v>638</v>
      </c>
      <c r="D14" s="39" t="s">
        <v>590</v>
      </c>
      <c r="E14" s="67" t="s">
        <v>651</v>
      </c>
      <c r="F14" s="67" t="s">
        <v>652</v>
      </c>
      <c r="G14" s="41" t="s">
        <v>633</v>
      </c>
      <c r="H14" s="39" t="s">
        <v>653</v>
      </c>
      <c r="I14" s="41" t="s">
        <v>654</v>
      </c>
    </row>
    <row r="15" customFormat="false" ht="30" hidden="false" customHeight="true" outlineLevel="0" collapsed="false">
      <c r="A15" s="45" t="s">
        <v>655</v>
      </c>
      <c r="B15" s="17" t="s">
        <v>656</v>
      </c>
      <c r="C15" s="10" t="s">
        <v>40</v>
      </c>
      <c r="D15" s="34" t="s">
        <v>610</v>
      </c>
      <c r="E15" s="19" t="s">
        <v>657</v>
      </c>
      <c r="F15" s="69" t="s">
        <v>658</v>
      </c>
      <c r="G15" s="19" t="s">
        <v>633</v>
      </c>
      <c r="H15" s="10" t="s">
        <v>659</v>
      </c>
      <c r="I15" s="19" t="s">
        <v>660</v>
      </c>
    </row>
    <row r="16" customFormat="false" ht="30" hidden="false" customHeight="true" outlineLevel="0" collapsed="false">
      <c r="A16" s="43" t="s">
        <v>661</v>
      </c>
      <c r="B16" s="76" t="s">
        <v>662</v>
      </c>
      <c r="C16" s="40" t="s">
        <v>40</v>
      </c>
      <c r="D16" s="39" t="s">
        <v>590</v>
      </c>
      <c r="E16" s="41" t="s">
        <v>663</v>
      </c>
      <c r="F16" s="67" t="s">
        <v>664</v>
      </c>
      <c r="G16" s="67" t="s">
        <v>665</v>
      </c>
      <c r="H16" s="39" t="s">
        <v>666</v>
      </c>
      <c r="I16" s="41" t="s">
        <v>667</v>
      </c>
    </row>
    <row r="17" customFormat="false" ht="30" hidden="false" customHeight="true" outlineLevel="0" collapsed="false">
      <c r="A17" s="45" t="s">
        <v>668</v>
      </c>
      <c r="B17" s="17" t="s">
        <v>669</v>
      </c>
      <c r="C17" s="10" t="s">
        <v>40</v>
      </c>
      <c r="D17" s="34" t="s">
        <v>590</v>
      </c>
      <c r="E17" s="19" t="s">
        <v>670</v>
      </c>
      <c r="F17" s="69" t="s">
        <v>671</v>
      </c>
      <c r="G17" s="19" t="s">
        <v>599</v>
      </c>
      <c r="H17" s="34" t="s">
        <v>666</v>
      </c>
      <c r="I17" s="19" t="s">
        <v>672</v>
      </c>
    </row>
    <row r="18" customFormat="false" ht="30" hidden="false" customHeight="true" outlineLevel="0" collapsed="false">
      <c r="A18" s="43" t="s">
        <v>673</v>
      </c>
      <c r="B18" s="76" t="s">
        <v>674</v>
      </c>
      <c r="C18" s="40" t="s">
        <v>40</v>
      </c>
      <c r="D18" s="39" t="s">
        <v>590</v>
      </c>
      <c r="E18" s="41" t="s">
        <v>675</v>
      </c>
      <c r="F18" s="67" t="s">
        <v>676</v>
      </c>
      <c r="G18" s="41" t="s">
        <v>677</v>
      </c>
      <c r="H18" s="39" t="s">
        <v>457</v>
      </c>
      <c r="I18" s="41" t="s">
        <v>678</v>
      </c>
    </row>
    <row r="19" customFormat="false" ht="30" hidden="false" customHeight="true" outlineLevel="0" collapsed="false">
      <c r="A19" s="45" t="s">
        <v>679</v>
      </c>
      <c r="B19" s="17" t="s">
        <v>680</v>
      </c>
      <c r="C19" s="10" t="s">
        <v>681</v>
      </c>
      <c r="D19" s="34" t="s">
        <v>610</v>
      </c>
      <c r="E19" s="19" t="s">
        <v>682</v>
      </c>
      <c r="F19" s="69" t="s">
        <v>683</v>
      </c>
      <c r="G19" s="19" t="s">
        <v>677</v>
      </c>
      <c r="H19" s="10" t="s">
        <v>684</v>
      </c>
      <c r="I19" s="19" t="s">
        <v>685</v>
      </c>
    </row>
    <row r="20" customFormat="false" ht="30" hidden="false" customHeight="true" outlineLevel="0" collapsed="false">
      <c r="A20" s="43" t="s">
        <v>686</v>
      </c>
      <c r="B20" s="76" t="s">
        <v>687</v>
      </c>
      <c r="C20" s="40" t="s">
        <v>681</v>
      </c>
      <c r="D20" s="39" t="s">
        <v>590</v>
      </c>
      <c r="E20" s="41" t="s">
        <v>688</v>
      </c>
      <c r="F20" s="67" t="s">
        <v>689</v>
      </c>
      <c r="G20" s="41" t="s">
        <v>690</v>
      </c>
      <c r="H20" s="39" t="s">
        <v>691</v>
      </c>
      <c r="I20" s="41" t="s">
        <v>692</v>
      </c>
    </row>
    <row r="21" customFormat="false" ht="30" hidden="false" customHeight="true" outlineLevel="0" collapsed="false">
      <c r="A21" s="45" t="s">
        <v>693</v>
      </c>
      <c r="B21" s="17" t="s">
        <v>694</v>
      </c>
      <c r="C21" s="10" t="s">
        <v>681</v>
      </c>
      <c r="D21" s="34" t="s">
        <v>590</v>
      </c>
      <c r="E21" s="19" t="s">
        <v>695</v>
      </c>
      <c r="F21" s="69" t="s">
        <v>696</v>
      </c>
      <c r="G21" s="19" t="s">
        <v>697</v>
      </c>
      <c r="H21" s="34" t="s">
        <v>698</v>
      </c>
      <c r="I21" s="19" t="s">
        <v>699</v>
      </c>
    </row>
    <row r="22" customFormat="false" ht="30" hidden="false" customHeight="true" outlineLevel="0" collapsed="false">
      <c r="A22" s="43" t="s">
        <v>700</v>
      </c>
      <c r="B22" s="76" t="s">
        <v>701</v>
      </c>
      <c r="C22" s="40" t="s">
        <v>681</v>
      </c>
      <c r="D22" s="39" t="s">
        <v>590</v>
      </c>
      <c r="E22" s="41" t="s">
        <v>702</v>
      </c>
      <c r="F22" s="67" t="s">
        <v>703</v>
      </c>
      <c r="G22" s="41" t="s">
        <v>704</v>
      </c>
      <c r="H22" s="39" t="s">
        <v>705</v>
      </c>
      <c r="I22" s="41" t="s">
        <v>706</v>
      </c>
    </row>
    <row r="23" customFormat="false" ht="30" hidden="false" customHeight="true" outlineLevel="0" collapsed="false">
      <c r="A23" s="45" t="s">
        <v>707</v>
      </c>
      <c r="B23" s="17" t="s">
        <v>708</v>
      </c>
      <c r="C23" s="10" t="s">
        <v>681</v>
      </c>
      <c r="D23" s="34" t="s">
        <v>590</v>
      </c>
      <c r="E23" s="19" t="s">
        <v>709</v>
      </c>
      <c r="F23" s="69" t="s">
        <v>710</v>
      </c>
      <c r="G23" s="19" t="s">
        <v>599</v>
      </c>
      <c r="H23" s="34" t="s">
        <v>711</v>
      </c>
      <c r="I23" s="19" t="s">
        <v>712</v>
      </c>
    </row>
    <row r="24" customFormat="false" ht="30" hidden="false" customHeight="true" outlineLevel="0" collapsed="false">
      <c r="A24" s="43" t="s">
        <v>713</v>
      </c>
      <c r="B24" s="76" t="s">
        <v>52</v>
      </c>
      <c r="C24" s="40" t="s">
        <v>681</v>
      </c>
      <c r="D24" s="39" t="s">
        <v>610</v>
      </c>
      <c r="E24" s="41" t="s">
        <v>714</v>
      </c>
      <c r="F24" s="67" t="s">
        <v>715</v>
      </c>
      <c r="G24" s="67" t="s">
        <v>716</v>
      </c>
      <c r="H24" s="40" t="s">
        <v>717</v>
      </c>
      <c r="I24" s="41" t="s">
        <v>718</v>
      </c>
    </row>
    <row r="25" customFormat="false" ht="30" hidden="false" customHeight="true" outlineLevel="0" collapsed="false">
      <c r="A25" s="45" t="s">
        <v>719</v>
      </c>
      <c r="B25" s="17" t="s">
        <v>720</v>
      </c>
      <c r="C25" s="10" t="s">
        <v>721</v>
      </c>
      <c r="D25" s="34" t="s">
        <v>590</v>
      </c>
      <c r="E25" s="19" t="s">
        <v>722</v>
      </c>
      <c r="F25" s="69" t="s">
        <v>723</v>
      </c>
      <c r="G25" s="19" t="s">
        <v>724</v>
      </c>
      <c r="H25" s="34" t="s">
        <v>725</v>
      </c>
      <c r="I25" s="19" t="s">
        <v>726</v>
      </c>
    </row>
    <row r="26" customFormat="false" ht="30" hidden="false" customHeight="true" outlineLevel="0" collapsed="false">
      <c r="A26" s="43" t="s">
        <v>727</v>
      </c>
      <c r="B26" s="76" t="s">
        <v>728</v>
      </c>
      <c r="C26" s="40" t="s">
        <v>721</v>
      </c>
      <c r="D26" s="39" t="s">
        <v>590</v>
      </c>
      <c r="E26" s="67" t="s">
        <v>729</v>
      </c>
      <c r="F26" s="67" t="s">
        <v>730</v>
      </c>
      <c r="G26" s="67" t="s">
        <v>731</v>
      </c>
      <c r="H26" s="39" t="s">
        <v>732</v>
      </c>
      <c r="I26" s="41" t="s">
        <v>733</v>
      </c>
    </row>
    <row r="27" customFormat="false" ht="30" hidden="false" customHeight="true" outlineLevel="0" collapsed="false">
      <c r="A27" s="45" t="s">
        <v>734</v>
      </c>
      <c r="B27" s="17" t="s">
        <v>735</v>
      </c>
      <c r="C27" s="10" t="s">
        <v>721</v>
      </c>
      <c r="D27" s="34" t="s">
        <v>590</v>
      </c>
      <c r="E27" s="19" t="s">
        <v>736</v>
      </c>
      <c r="F27" s="69" t="s">
        <v>737</v>
      </c>
      <c r="G27" s="19" t="s">
        <v>738</v>
      </c>
      <c r="H27" s="34" t="s">
        <v>739</v>
      </c>
      <c r="I27" s="19" t="s">
        <v>740</v>
      </c>
    </row>
    <row r="28" customFormat="false" ht="30" hidden="false" customHeight="true" outlineLevel="0" collapsed="false">
      <c r="A28" s="43" t="s">
        <v>741</v>
      </c>
      <c r="B28" s="76" t="s">
        <v>742</v>
      </c>
      <c r="C28" s="40" t="s">
        <v>721</v>
      </c>
      <c r="D28" s="39" t="s">
        <v>610</v>
      </c>
      <c r="E28" s="41" t="s">
        <v>743</v>
      </c>
      <c r="F28" s="67" t="s">
        <v>744</v>
      </c>
      <c r="G28" s="41" t="s">
        <v>745</v>
      </c>
      <c r="H28" s="40" t="s">
        <v>746</v>
      </c>
      <c r="I28" s="41" t="s">
        <v>747</v>
      </c>
    </row>
    <row r="29" customFormat="false" ht="30" hidden="false" customHeight="true" outlineLevel="0" collapsed="false">
      <c r="A29" s="45" t="s">
        <v>748</v>
      </c>
      <c r="B29" s="17" t="s">
        <v>749</v>
      </c>
      <c r="C29" s="10" t="s">
        <v>721</v>
      </c>
      <c r="D29" s="34" t="s">
        <v>590</v>
      </c>
      <c r="E29" s="19" t="s">
        <v>750</v>
      </c>
      <c r="F29" s="69" t="s">
        <v>751</v>
      </c>
      <c r="G29" s="19" t="s">
        <v>599</v>
      </c>
      <c r="H29" s="34" t="s">
        <v>752</v>
      </c>
      <c r="I29" s="69" t="s">
        <v>753</v>
      </c>
    </row>
    <row r="30" customFormat="false" ht="30" hidden="false" customHeight="true" outlineLevel="0" collapsed="false">
      <c r="A30" s="43" t="s">
        <v>754</v>
      </c>
      <c r="B30" s="76" t="s">
        <v>755</v>
      </c>
      <c r="C30" s="40" t="s">
        <v>41</v>
      </c>
      <c r="D30" s="39" t="s">
        <v>590</v>
      </c>
      <c r="E30" s="41" t="s">
        <v>756</v>
      </c>
      <c r="F30" s="67" t="s">
        <v>757</v>
      </c>
      <c r="G30" s="41" t="s">
        <v>633</v>
      </c>
      <c r="H30" s="39" t="s">
        <v>758</v>
      </c>
      <c r="I30" s="41" t="s">
        <v>759</v>
      </c>
    </row>
    <row r="31" customFormat="false" ht="30" hidden="false" customHeight="true" outlineLevel="0" collapsed="false">
      <c r="A31" s="45" t="s">
        <v>760</v>
      </c>
      <c r="B31" s="17" t="s">
        <v>761</v>
      </c>
      <c r="C31" s="10" t="s">
        <v>762</v>
      </c>
      <c r="D31" s="34" t="s">
        <v>590</v>
      </c>
      <c r="E31" s="69" t="s">
        <v>763</v>
      </c>
      <c r="F31" s="69" t="s">
        <v>764</v>
      </c>
      <c r="G31" s="19" t="s">
        <v>765</v>
      </c>
      <c r="H31" s="34" t="s">
        <v>766</v>
      </c>
      <c r="I31" s="19" t="s">
        <v>767</v>
      </c>
    </row>
    <row r="32" customFormat="false" ht="30" hidden="false" customHeight="true" outlineLevel="0" collapsed="false">
      <c r="A32" s="43" t="s">
        <v>768</v>
      </c>
      <c r="B32" s="76" t="s">
        <v>769</v>
      </c>
      <c r="C32" s="40" t="s">
        <v>762</v>
      </c>
      <c r="D32" s="39" t="s">
        <v>770</v>
      </c>
      <c r="E32" s="41" t="s">
        <v>771</v>
      </c>
      <c r="F32" s="67" t="s">
        <v>772</v>
      </c>
      <c r="G32" s="41" t="s">
        <v>773</v>
      </c>
      <c r="H32" s="39" t="s">
        <v>774</v>
      </c>
      <c r="I32" s="41" t="s">
        <v>775</v>
      </c>
    </row>
    <row r="33" customFormat="false" ht="30" hidden="false" customHeight="true" outlineLevel="0" collapsed="false">
      <c r="A33" s="45" t="s">
        <v>776</v>
      </c>
      <c r="B33" s="17" t="s">
        <v>777</v>
      </c>
      <c r="C33" s="10" t="s">
        <v>778</v>
      </c>
      <c r="D33" s="34" t="s">
        <v>770</v>
      </c>
      <c r="E33" s="19" t="s">
        <v>779</v>
      </c>
      <c r="F33" s="69" t="s">
        <v>780</v>
      </c>
      <c r="G33" s="69" t="s">
        <v>781</v>
      </c>
      <c r="H33" s="10" t="s">
        <v>782</v>
      </c>
      <c r="I33" s="19" t="s">
        <v>783</v>
      </c>
    </row>
    <row r="34" customFormat="false" ht="30" hidden="false" customHeight="true" outlineLevel="0" collapsed="false">
      <c r="A34" s="43" t="s">
        <v>784</v>
      </c>
      <c r="B34" s="76" t="s">
        <v>785</v>
      </c>
      <c r="C34" s="40" t="s">
        <v>778</v>
      </c>
      <c r="D34" s="39" t="s">
        <v>770</v>
      </c>
      <c r="E34" s="41" t="s">
        <v>779</v>
      </c>
      <c r="F34" s="67" t="s">
        <v>786</v>
      </c>
      <c r="G34" s="41" t="s">
        <v>787</v>
      </c>
      <c r="H34" s="40" t="s">
        <v>788</v>
      </c>
      <c r="I34" s="41" t="s">
        <v>789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AA3AE"/>
    <pageSetUpPr fitToPage="false"/>
  </sheetPr>
  <dimension ref="A1:H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6"/>
    <col collapsed="false" customWidth="true" hidden="false" outlineLevel="0" max="3" min="3" style="0" width="34"/>
    <col collapsed="false" customWidth="true" hidden="false" outlineLevel="0" max="4" min="4" style="0" width="26"/>
    <col collapsed="false" customWidth="true" hidden="false" outlineLevel="0" max="5" min="5" style="0" width="12"/>
    <col collapsed="false" customWidth="true" hidden="false" outlineLevel="0" max="6" min="6" style="0" width="26"/>
    <col collapsed="false" customWidth="true" hidden="false" outlineLevel="0" max="7" min="7" style="0" width="14"/>
    <col collapsed="false" customWidth="true" hidden="false" outlineLevel="0" max="8" min="8" style="0" width="10"/>
  </cols>
  <sheetData>
    <row r="1" customFormat="false" ht="30" hidden="false" customHeight="true" outlineLevel="0" collapsed="false">
      <c r="A1" s="1" t="s">
        <v>790</v>
      </c>
      <c r="B1" s="1"/>
      <c r="C1" s="1"/>
      <c r="D1" s="1"/>
      <c r="E1" s="1"/>
      <c r="F1" s="1"/>
      <c r="G1" s="1"/>
      <c r="H1" s="1"/>
    </row>
    <row r="2" customFormat="false" ht="27.75" hidden="false" customHeight="true" outlineLevel="0" collapsed="false">
      <c r="A2" s="2" t="s">
        <v>791</v>
      </c>
      <c r="B2" s="2"/>
      <c r="C2" s="2"/>
      <c r="D2" s="2"/>
      <c r="E2" s="2"/>
      <c r="F2" s="2"/>
      <c r="G2" s="2"/>
      <c r="H2" s="2"/>
    </row>
    <row r="4" customFormat="false" ht="24" hidden="false" customHeight="true" outlineLevel="0" collapsed="false">
      <c r="A4" s="13" t="s">
        <v>792</v>
      </c>
      <c r="B4" s="13"/>
      <c r="C4" s="13"/>
      <c r="D4" s="13"/>
      <c r="E4" s="13"/>
      <c r="F4" s="13"/>
      <c r="G4" s="13"/>
      <c r="H4" s="13"/>
    </row>
    <row r="5" customFormat="false" ht="30" hidden="false" customHeight="true" outlineLevel="0" collapsed="false">
      <c r="A5" s="3" t="s">
        <v>793</v>
      </c>
      <c r="B5" s="46" t="s">
        <v>794</v>
      </c>
      <c r="C5" s="46"/>
      <c r="D5" s="46"/>
      <c r="E5" s="46"/>
      <c r="F5" s="46"/>
      <c r="G5" s="46"/>
      <c r="H5" s="46"/>
    </row>
    <row r="6" customFormat="false" ht="30" hidden="false" customHeight="true" outlineLevel="0" collapsed="false">
      <c r="A6" s="3" t="s">
        <v>795</v>
      </c>
      <c r="B6" s="46" t="s">
        <v>796</v>
      </c>
      <c r="C6" s="46"/>
      <c r="D6" s="46"/>
      <c r="E6" s="46"/>
      <c r="F6" s="46"/>
      <c r="G6" s="46"/>
      <c r="H6" s="46"/>
    </row>
    <row r="7" customFormat="false" ht="30" hidden="false" customHeight="true" outlineLevel="0" collapsed="false">
      <c r="A7" s="3" t="s">
        <v>797</v>
      </c>
      <c r="B7" s="46" t="s">
        <v>798</v>
      </c>
      <c r="C7" s="46"/>
      <c r="D7" s="46"/>
      <c r="E7" s="46"/>
      <c r="F7" s="46"/>
      <c r="G7" s="46"/>
      <c r="H7" s="46"/>
    </row>
    <row r="8" customFormat="false" ht="30" hidden="false" customHeight="true" outlineLevel="0" collapsed="false">
      <c r="A8" s="3" t="s">
        <v>799</v>
      </c>
      <c r="B8" s="46" t="s">
        <v>800</v>
      </c>
      <c r="C8" s="46"/>
      <c r="D8" s="46"/>
      <c r="E8" s="46"/>
      <c r="F8" s="46"/>
      <c r="G8" s="46"/>
      <c r="H8" s="46"/>
    </row>
    <row r="9" customFormat="false" ht="30" hidden="false" customHeight="true" outlineLevel="0" collapsed="false">
      <c r="A9" s="3" t="s">
        <v>801</v>
      </c>
      <c r="B9" s="46" t="s">
        <v>802</v>
      </c>
      <c r="C9" s="46"/>
      <c r="D9" s="46"/>
      <c r="E9" s="46"/>
      <c r="F9" s="46"/>
      <c r="G9" s="46"/>
      <c r="H9" s="46"/>
    </row>
    <row r="11" customFormat="false" ht="24" hidden="false" customHeight="true" outlineLevel="0" collapsed="false">
      <c r="A11" s="13" t="s">
        <v>803</v>
      </c>
      <c r="B11" s="13"/>
      <c r="C11" s="13"/>
      <c r="D11" s="13"/>
      <c r="E11" s="13"/>
      <c r="F11" s="13"/>
      <c r="G11" s="13"/>
      <c r="H11" s="13"/>
    </row>
    <row r="12" customFormat="false" ht="30" hidden="false" customHeight="true" outlineLevel="0" collapsed="false">
      <c r="A12" s="6" t="s">
        <v>804</v>
      </c>
      <c r="B12" s="6" t="s">
        <v>153</v>
      </c>
      <c r="C12" s="6" t="s">
        <v>805</v>
      </c>
      <c r="D12" s="6"/>
      <c r="E12" s="6"/>
      <c r="F12" s="6"/>
      <c r="G12" s="6"/>
      <c r="H12" s="6"/>
    </row>
    <row r="13" customFormat="false" ht="15" hidden="false" customHeight="true" outlineLevel="0" collapsed="false">
      <c r="A13" s="77" t="s">
        <v>806</v>
      </c>
      <c r="B13" s="17" t="s">
        <v>807</v>
      </c>
      <c r="C13" s="46" t="s">
        <v>808</v>
      </c>
      <c r="D13" s="46"/>
      <c r="E13" s="46"/>
      <c r="F13" s="46"/>
      <c r="G13" s="46"/>
      <c r="H13" s="46"/>
    </row>
    <row r="14" customFormat="false" ht="15" hidden="false" customHeight="true" outlineLevel="0" collapsed="false">
      <c r="A14" s="8" t="s">
        <v>809</v>
      </c>
      <c r="B14" s="17" t="s">
        <v>810</v>
      </c>
      <c r="C14" s="46" t="s">
        <v>811</v>
      </c>
      <c r="D14" s="46"/>
      <c r="E14" s="46"/>
      <c r="F14" s="46"/>
      <c r="G14" s="46"/>
      <c r="H14" s="46"/>
    </row>
    <row r="15" customFormat="false" ht="15" hidden="false" customHeight="true" outlineLevel="0" collapsed="false">
      <c r="A15" s="78" t="s">
        <v>33</v>
      </c>
      <c r="B15" s="17" t="s">
        <v>812</v>
      </c>
      <c r="C15" s="46" t="s">
        <v>813</v>
      </c>
      <c r="D15" s="46"/>
      <c r="E15" s="46"/>
      <c r="F15" s="46"/>
      <c r="G15" s="46"/>
      <c r="H15" s="46"/>
    </row>
    <row r="16" customFormat="false" ht="15" hidden="false" customHeight="true" outlineLevel="0" collapsed="false">
      <c r="A16" s="79" t="s">
        <v>34</v>
      </c>
      <c r="B16" s="17" t="s">
        <v>814</v>
      </c>
      <c r="C16" s="46" t="s">
        <v>815</v>
      </c>
      <c r="D16" s="46"/>
      <c r="E16" s="46"/>
      <c r="F16" s="46"/>
      <c r="G16" s="46"/>
      <c r="H16" s="46"/>
    </row>
    <row r="17" customFormat="false" ht="15" hidden="false" customHeight="true" outlineLevel="0" collapsed="false">
      <c r="A17" s="80" t="s">
        <v>35</v>
      </c>
      <c r="B17" s="17" t="s">
        <v>816</v>
      </c>
      <c r="C17" s="46" t="s">
        <v>817</v>
      </c>
      <c r="D17" s="46"/>
      <c r="E17" s="46"/>
      <c r="F17" s="46"/>
      <c r="G17" s="46"/>
      <c r="H17" s="46"/>
    </row>
    <row r="19" customFormat="false" ht="24" hidden="false" customHeight="true" outlineLevel="0" collapsed="false">
      <c r="A19" s="13" t="s">
        <v>818</v>
      </c>
      <c r="B19" s="13"/>
      <c r="C19" s="13"/>
      <c r="D19" s="13"/>
      <c r="E19" s="13"/>
      <c r="F19" s="13"/>
      <c r="G19" s="13"/>
      <c r="H19" s="13"/>
    </row>
    <row r="20" customFormat="false" ht="30" hidden="false" customHeight="true" outlineLevel="0" collapsed="false">
      <c r="A20" s="6" t="s">
        <v>819</v>
      </c>
      <c r="B20" s="6" t="s">
        <v>820</v>
      </c>
      <c r="C20" s="6" t="s">
        <v>821</v>
      </c>
      <c r="D20" s="6" t="s">
        <v>822</v>
      </c>
      <c r="E20" s="6" t="s">
        <v>823</v>
      </c>
      <c r="F20" s="6" t="s">
        <v>824</v>
      </c>
      <c r="G20" s="6" t="s">
        <v>825</v>
      </c>
      <c r="H20" s="6" t="s">
        <v>826</v>
      </c>
    </row>
    <row r="21" customFormat="false" ht="30" hidden="false" customHeight="true" outlineLevel="0" collapsed="false">
      <c r="A21" s="33" t="s">
        <v>349</v>
      </c>
      <c r="B21" s="19" t="s">
        <v>827</v>
      </c>
      <c r="C21" s="19" t="s">
        <v>351</v>
      </c>
      <c r="D21" s="19" t="s">
        <v>354</v>
      </c>
      <c r="E21" s="34" t="s">
        <v>828</v>
      </c>
      <c r="F21" s="69" t="s">
        <v>829</v>
      </c>
      <c r="G21" s="10" t="s">
        <v>350</v>
      </c>
      <c r="H21" s="81" t="s">
        <v>830</v>
      </c>
    </row>
    <row r="22" customFormat="false" ht="30" hidden="false" customHeight="true" outlineLevel="0" collapsed="false">
      <c r="A22" s="33" t="s">
        <v>357</v>
      </c>
      <c r="B22" s="19" t="s">
        <v>831</v>
      </c>
      <c r="C22" s="19" t="s">
        <v>358</v>
      </c>
      <c r="D22" s="19" t="s">
        <v>832</v>
      </c>
      <c r="E22" s="34" t="s">
        <v>833</v>
      </c>
      <c r="F22" s="69" t="s">
        <v>834</v>
      </c>
      <c r="G22" s="10" t="s">
        <v>350</v>
      </c>
      <c r="H22" s="81" t="s">
        <v>830</v>
      </c>
    </row>
    <row r="23" customFormat="false" ht="30" hidden="false" customHeight="true" outlineLevel="0" collapsed="false">
      <c r="A23" s="33" t="s">
        <v>364</v>
      </c>
      <c r="B23" s="19" t="s">
        <v>363</v>
      </c>
      <c r="C23" s="19" t="s">
        <v>366</v>
      </c>
      <c r="D23" s="19" t="s">
        <v>835</v>
      </c>
      <c r="E23" s="34" t="s">
        <v>836</v>
      </c>
      <c r="F23" s="69" t="s">
        <v>837</v>
      </c>
      <c r="G23" s="10" t="s">
        <v>365</v>
      </c>
      <c r="H23" s="81" t="s">
        <v>830</v>
      </c>
    </row>
    <row r="24" customFormat="false" ht="30" hidden="false" customHeight="true" outlineLevel="0" collapsed="false">
      <c r="A24" s="33" t="s">
        <v>372</v>
      </c>
      <c r="B24" s="19" t="s">
        <v>371</v>
      </c>
      <c r="C24" s="19" t="s">
        <v>373</v>
      </c>
      <c r="D24" s="19" t="s">
        <v>838</v>
      </c>
      <c r="E24" s="34" t="s">
        <v>833</v>
      </c>
      <c r="F24" s="69" t="s">
        <v>839</v>
      </c>
      <c r="G24" s="10" t="s">
        <v>350</v>
      </c>
      <c r="H24" s="81" t="s">
        <v>830</v>
      </c>
    </row>
    <row r="25" customFormat="false" ht="30" hidden="false" customHeight="true" outlineLevel="0" collapsed="false">
      <c r="A25" s="17" t="s">
        <v>379</v>
      </c>
      <c r="B25" s="19" t="s">
        <v>840</v>
      </c>
      <c r="C25" s="19" t="s">
        <v>380</v>
      </c>
      <c r="D25" s="19" t="s">
        <v>841</v>
      </c>
      <c r="E25" s="34" t="s">
        <v>842</v>
      </c>
      <c r="F25" s="69" t="s">
        <v>382</v>
      </c>
      <c r="G25" s="10" t="s">
        <v>365</v>
      </c>
      <c r="H25" s="81" t="s">
        <v>830</v>
      </c>
    </row>
    <row r="26" customFormat="false" ht="30" hidden="false" customHeight="true" outlineLevel="0" collapsed="false">
      <c r="A26" s="17" t="s">
        <v>386</v>
      </c>
      <c r="B26" s="19" t="s">
        <v>385</v>
      </c>
      <c r="C26" s="19" t="s">
        <v>387</v>
      </c>
      <c r="D26" s="19" t="s">
        <v>843</v>
      </c>
      <c r="E26" s="34" t="s">
        <v>844</v>
      </c>
      <c r="F26" s="69" t="s">
        <v>845</v>
      </c>
      <c r="G26" s="10" t="s">
        <v>365</v>
      </c>
      <c r="H26" s="81" t="s">
        <v>830</v>
      </c>
    </row>
    <row r="27" customFormat="false" ht="30" hidden="false" customHeight="true" outlineLevel="0" collapsed="false">
      <c r="A27" s="17" t="s">
        <v>393</v>
      </c>
      <c r="B27" s="19" t="s">
        <v>846</v>
      </c>
      <c r="C27" s="19" t="s">
        <v>394</v>
      </c>
      <c r="D27" s="69" t="s">
        <v>847</v>
      </c>
      <c r="E27" s="34" t="s">
        <v>828</v>
      </c>
      <c r="F27" s="69" t="s">
        <v>848</v>
      </c>
      <c r="G27" s="10" t="s">
        <v>350</v>
      </c>
      <c r="H27" s="81" t="s">
        <v>830</v>
      </c>
    </row>
    <row r="28" customFormat="false" ht="30" hidden="false" customHeight="true" outlineLevel="0" collapsed="false">
      <c r="A28" s="33" t="s">
        <v>400</v>
      </c>
      <c r="B28" s="19" t="s">
        <v>399</v>
      </c>
      <c r="C28" s="19" t="s">
        <v>401</v>
      </c>
      <c r="D28" s="19" t="s">
        <v>849</v>
      </c>
      <c r="E28" s="34" t="s">
        <v>828</v>
      </c>
      <c r="F28" s="69" t="s">
        <v>850</v>
      </c>
      <c r="G28" s="10" t="s">
        <v>365</v>
      </c>
      <c r="H28" s="81" t="s">
        <v>830</v>
      </c>
    </row>
    <row r="29" customFormat="false" ht="30" hidden="false" customHeight="true" outlineLevel="0" collapsed="false">
      <c r="A29" s="33" t="s">
        <v>204</v>
      </c>
      <c r="B29" s="19" t="s">
        <v>406</v>
      </c>
      <c r="C29" s="19" t="s">
        <v>407</v>
      </c>
      <c r="D29" s="19" t="s">
        <v>851</v>
      </c>
      <c r="E29" s="34" t="s">
        <v>828</v>
      </c>
      <c r="F29" s="69" t="s">
        <v>852</v>
      </c>
      <c r="G29" s="10" t="s">
        <v>350</v>
      </c>
      <c r="H29" s="81" t="s">
        <v>830</v>
      </c>
    </row>
    <row r="30" customFormat="false" ht="30" hidden="false" customHeight="true" outlineLevel="0" collapsed="false">
      <c r="A30" s="33" t="s">
        <v>208</v>
      </c>
      <c r="B30" s="19" t="s">
        <v>412</v>
      </c>
      <c r="C30" s="19" t="s">
        <v>413</v>
      </c>
      <c r="D30" s="19" t="s">
        <v>853</v>
      </c>
      <c r="E30" s="34" t="s">
        <v>828</v>
      </c>
      <c r="F30" s="69" t="s">
        <v>854</v>
      </c>
      <c r="G30" s="10" t="s">
        <v>365</v>
      </c>
      <c r="H30" s="81" t="s">
        <v>830</v>
      </c>
    </row>
    <row r="31" customFormat="false" ht="30" hidden="false" customHeight="true" outlineLevel="0" collapsed="false">
      <c r="A31" s="33" t="s">
        <v>419</v>
      </c>
      <c r="B31" s="19" t="s">
        <v>855</v>
      </c>
      <c r="C31" s="19" t="s">
        <v>420</v>
      </c>
      <c r="D31" s="19" t="s">
        <v>423</v>
      </c>
      <c r="E31" s="34" t="s">
        <v>856</v>
      </c>
      <c r="F31" s="69" t="s">
        <v>857</v>
      </c>
      <c r="G31" s="10" t="s">
        <v>350</v>
      </c>
      <c r="H31" s="81" t="s">
        <v>830</v>
      </c>
    </row>
    <row r="32" customFormat="false" ht="30" hidden="false" customHeight="true" outlineLevel="0" collapsed="false">
      <c r="A32" s="17" t="s">
        <v>426</v>
      </c>
      <c r="B32" s="19" t="s">
        <v>425</v>
      </c>
      <c r="C32" s="19" t="s">
        <v>427</v>
      </c>
      <c r="D32" s="19" t="s">
        <v>430</v>
      </c>
      <c r="E32" s="34" t="s">
        <v>828</v>
      </c>
      <c r="F32" s="69" t="s">
        <v>858</v>
      </c>
      <c r="G32" s="10" t="s">
        <v>365</v>
      </c>
      <c r="H32" s="81" t="s">
        <v>830</v>
      </c>
    </row>
    <row r="33" customFormat="false" ht="15" hidden="false" customHeight="false" outlineLevel="0" collapsed="false">
      <c r="A33" s="3" t="s">
        <v>431</v>
      </c>
      <c r="E33" s="8" t="str">
        <f aca="false">TEXT(SUMPRODUCT(--SUBSTITUTE(E21:E32," 分钟","")),"0")&amp;" 分钟/天"</f>
        <v>73 分钟/天</v>
      </c>
    </row>
    <row r="35" customFormat="false" ht="25.5" hidden="false" customHeight="true" outlineLevel="0" collapsed="false">
      <c r="A35" s="21" t="s">
        <v>859</v>
      </c>
      <c r="B35" s="21"/>
      <c r="C35" s="21"/>
      <c r="D35" s="21"/>
      <c r="E35" s="21"/>
      <c r="F35" s="21"/>
      <c r="G35" s="21"/>
      <c r="H35" s="21"/>
    </row>
  </sheetData>
  <mergeCells count="16">
    <mergeCell ref="A1:H1"/>
    <mergeCell ref="A2:H2"/>
    <mergeCell ref="A4:H4"/>
    <mergeCell ref="B5:H5"/>
    <mergeCell ref="B6:H6"/>
    <mergeCell ref="B7:H7"/>
    <mergeCell ref="B8:H8"/>
    <mergeCell ref="B9:H9"/>
    <mergeCell ref="A11:H11"/>
    <mergeCell ref="C13:H13"/>
    <mergeCell ref="C14:H14"/>
    <mergeCell ref="C15:H15"/>
    <mergeCell ref="C16:H16"/>
    <mergeCell ref="C17:H17"/>
    <mergeCell ref="A19:H19"/>
    <mergeCell ref="A35:H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2026-08-19T08:43:22Z</dcterms:created>
  <dc:creator>mcd_store_ops</dc:creator>
  <dc:description/>
  <dc:language>en-US</dc:language>
  <cp:lastModifiedBy/>
  <dcterms:modified xsi:type="dcterms:W3CDTF">2026-08-19T08:43:35Z</dcterms:modified>
  <cp:revision>0</cp:revision>
  <dc:subject/>
  <dc:title>门店日运营报表包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